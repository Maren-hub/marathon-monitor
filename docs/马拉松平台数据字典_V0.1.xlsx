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81e3404f4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说明" sheetId="1" r:id="Rbac2a741366740be"/>
    <x:sheet xmlns:r="http://schemas.openxmlformats.org/officeDocument/2006/relationships" name="运动员数据" sheetId="2" r:id="R794a9a74fa63483b"/>
    <x:sheet xmlns:r="http://schemas.openxmlformats.org/officeDocument/2006/relationships" name="无人机数据" sheetId="3" r:id="R4e4149d2518d478b"/>
    <x:sheet xmlns:r="http://schemas.openxmlformats.org/officeDocument/2006/relationships" name="GIS赛段数据" sheetId="4" r:id="Rb48c2b2ba38b42f6"/>
    <x:sheet xmlns:r="http://schemas.openxmlformats.org/officeDocument/2006/relationships" name="环境数据" sheetId="5" r:id="Rd93d5f67b0674305"/>
    <x:sheet xmlns:r="http://schemas.openxmlformats.org/officeDocument/2006/relationships" name="风险规则" sheetId="6" r:id="R1fd85a26e11e486e"/>
    <x:sheet xmlns:r="http://schemas.openxmlformats.org/officeDocument/2006/relationships" name="异常事件" sheetId="7" r:id="Rf6ee2f2d044f4705"/>
    <x:sheet xmlns:r="http://schemas.openxmlformats.org/officeDocument/2006/relationships" name="修改记录" sheetId="8" r:id="Re246db2a5280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%"/>
    <x:numFmt numFmtId="202" formatCode="yyyy-mm-dd hh:mm:ss"/>
    <x:numFmt numFmtId="203" formatCode="0.0000"/>
    <x:numFmt numFmtId="204" formatCode="0.0"/>
    <x:numFmt numFmtId="205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7A4E00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color rgb="FF7A4E0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FFF0C2"/>
      </x:patternFill>
    </x:fill>
    <x:fill>
      <x:patternFill patternType="solid">
        <x:fgColor rgb="FFFFF4CC"/>
      </x:patternFill>
    </x:fill>
  </x:fills>
  <x:borders count="4">
    <x:border/>
    <x:border>
      <x:left style="thin">
        <x:color rgb="FFD5DEE6"/>
      </x:left>
      <x:top style="thin">
        <x:color rgb="FFD5DEE6"/>
      </x:top>
      <x:bottom style="thin">
        <x:color rgb="FFD5DEE6"/>
      </x:bottom>
    </x:border>
    <x:border>
      <x:top style="thin">
        <x:color rgb="FFD5DEE6"/>
      </x:top>
      <x:bottom style="thin">
        <x:color rgb="FFD5DEE6"/>
      </x:bottom>
    </x:border>
    <x:border>
      <x:right style="thin">
        <x:color rgb="FFD5DEE6"/>
      </x:right>
      <x:top style="thin">
        <x:color rgb="FFD5DEE6"/>
      </x:top>
      <x:bottom style="thin">
        <x:color rgb="FFD5DEE6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5" fontId="4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5" fontId="4" fillId="4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3b147ff7f84e9a" /><Relationship Type="http://schemas.openxmlformats.org/officeDocument/2006/relationships/theme" Target="/xl/theme/theme1.xml" Id="Rf8233faafd764fa3" /><Relationship Type="http://schemas.openxmlformats.org/officeDocument/2006/relationships/sharedStrings" Target="/xl/sharedStrings.xml" Id="R04bb8c2d5f1d4c37" /><Relationship Type="http://schemas.openxmlformats.org/officeDocument/2006/relationships/worksheet" Target="/xl/worksheets/sheet1.xml" Id="Rbac2a741366740be" /><Relationship Type="http://schemas.openxmlformats.org/officeDocument/2006/relationships/worksheet" Target="/xl/worksheets/sheet2.xml" Id="R794a9a74fa63483b" /><Relationship Type="http://schemas.openxmlformats.org/officeDocument/2006/relationships/worksheet" Target="/xl/worksheets/sheet3.xml" Id="R4e4149d2518d478b" /><Relationship Type="http://schemas.openxmlformats.org/officeDocument/2006/relationships/worksheet" Target="/xl/worksheets/sheet4.xml" Id="Rb48c2b2ba38b42f6" /><Relationship Type="http://schemas.openxmlformats.org/officeDocument/2006/relationships/worksheet" Target="/xl/worksheets/sheet5.xml" Id="Rd93d5f67b0674305" /><Relationship Type="http://schemas.openxmlformats.org/officeDocument/2006/relationships/worksheet" Target="/xl/worksheets/sheet6.xml" Id="R1fd85a26e11e486e" /><Relationship Type="http://schemas.openxmlformats.org/officeDocument/2006/relationships/worksheet" Target="/xl/worksheets/sheet7.xml" Id="Rf6ee2f2d044f4705" /><Relationship Type="http://schemas.openxmlformats.org/officeDocument/2006/relationships/worksheet" Target="/xl/worksheets/sheet8.xml" Id="Re246db2a52804382" /></Relationships>
</file>

<file path=xl/tables/table1.xml><?xml version="1.0" encoding="utf-8"?>
<x:table xmlns:x="http://schemas.openxmlformats.org/spreadsheetml/2006/main" id="6" name="FieldDictionaryTable" displayName="FieldDictionaryTable" ref="A1:J55" headerRowCount="1" totalsRowCount="0" totalsRowShown="0">
  <x:tableColumns count="10">
    <x:tableColumn id="1" name="模块"/>
    <x:tableColumn id="2" name="字段英文名"/>
    <x:tableColumn id="3" name="中文名称"/>
    <x:tableColumn id="4" name="数据类型"/>
    <x:tableColumn id="5" name="单位或范围"/>
    <x:tableColumn id="6" name="是否必填"/>
    <x:tableColumn id="7" name="数据来源"/>
    <x:tableColumn id="8" name="字段状态"/>
    <x:tableColumn id="9" name="示例"/>
    <x:tableColumn id="10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thleteDataTable" displayName="AthleteDataTable" ref="A1:U4" headerRowCount="1" totalsRowCount="0" totalsRowShown="0">
  <x:tableColumns count="21">
    <x:tableColumn id="1" name="timestamp"/>
    <x:tableColumn id="2" name="source_type"/>
    <x:tableColumn id="3" name="source_id"/>
    <x:tableColumn id="4" name="athlete_id"/>
    <x:tableColumn id="5" name="longitude"/>
    <x:tableColumn id="6" name="latitude"/>
    <x:tableColumn id="7" name="coordinate_system"/>
    <x:tableColumn id="8" name="segment_id"/>
    <x:tableColumn id="9" name="distance_km"/>
    <x:tableColumn id="10" name="speed_m_s"/>
    <x:tableColumn id="11" name="heart_rate_bpm"/>
    <x:tableColumn id="12" name="spo2_pct"/>
    <x:tableColumn id="13" name="acceleration_m_s2"/>
    <x:tableColumn id="14" name="device_battery_pct"/>
    <x:tableColumn id="15" name="heart_rate_risk"/>
    <x:tableColumn id="16" name="spo2_risk"/>
    <x:tableColumn id="17" name="motion_risk"/>
    <x:tableColumn id="18" name="health_risk"/>
    <x:tableColumn id="19" name="data_quality"/>
    <x:tableColumn id="20" name="risk_level"/>
    <x:tableColumn id="21" name="data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UavDataTable" displayName="UavDataTable" ref="A1:T4" headerRowCount="1" totalsRowCount="0" totalsRowShown="0">
  <x:tableColumns count="20">
    <x:tableColumn id="1" name="timestamp"/>
    <x:tableColumn id="2" name="source_type"/>
    <x:tableColumn id="3" name="source_id"/>
    <x:tableColumn id="4" name="uav_id"/>
    <x:tableColumn id="5" name="longitude"/>
    <x:tableColumn id="6" name="latitude"/>
    <x:tableColumn id="7" name="coordinate_system"/>
    <x:tableColumn id="8" name="segment_id"/>
    <x:tableColumn id="9" name="altitude_m"/>
    <x:tableColumn id="10" name="battery_pct"/>
    <x:tableColumn id="11" name="detected_people"/>
    <x:tableColumn id="12" name="crowd_density_person_m2"/>
    <x:tableColumn id="13" name="average_speed_m_s"/>
    <x:tableColumn id="14" name="fall_confidence"/>
    <x:tableColumn id="15" name="crowd_risk"/>
    <x:tableColumn id="16" name="visual_risk"/>
    <x:tableColumn id="17" name="mission_type"/>
    <x:tableColumn id="18" name="data_quality"/>
    <x:tableColumn id="19" name="risk_level"/>
    <x:tableColumn id="20" name="data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GisSegmentTable" displayName="GisSegmentTable" ref="A1:L6" headerRowCount="1" totalsRowCount="0" totalsRowShown="0">
  <x:tableColumns count="12">
    <x:tableColumn id="1" name="segment_id"/>
    <x:tableColumn id="2" name="segment_name"/>
    <x:tableColumn id="3" name="start_km"/>
    <x:tableColumn id="4" name="end_km"/>
    <x:tableColumn id="5" name="geometry"/>
    <x:tableColumn id="6" name="average_slope_pct"/>
    <x:tableColumn id="7" name="road_width_m"/>
    <x:tableColumn id="8" name="medical_point_id"/>
    <x:tableColumn id="9" name="rescue_distance_m"/>
    <x:tableColumn id="10" name="rescue_risk"/>
    <x:tableColumn id="11" name="base_monitoring_focus"/>
    <x:tableColumn id="12" name="data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EnvironmentDataTable" displayName="EnvironmentDataTable" ref="A1:L4" headerRowCount="1" totalsRowCount="0" totalsRowShown="0">
  <x:tableColumns count="12">
    <x:tableColumn id="1" name="timestamp"/>
    <x:tableColumn id="2" name="source_type"/>
    <x:tableColumn id="3" name="source_id"/>
    <x:tableColumn id="4" name="segment_id"/>
    <x:tableColumn id="5" name="temperature_c"/>
    <x:tableColumn id="6" name="humidity_pct"/>
    <x:tableColumn id="7" name="wind_speed_m_s"/>
    <x:tableColumn id="8" name="rainfall_mm"/>
    <x:tableColumn id="9" name="heat_index_c"/>
    <x:tableColumn id="10" name="environment_risk"/>
    <x:tableColumn id="11" name="data_quality"/>
    <x:tableColumn id="12" name="data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EventRecordTable" displayName="EventRecordTable" ref="A1:X4" headerRowCount="1" totalsRowCount="0" totalsRowShown="0">
  <x:tableColumns count="24">
    <x:tableColumn id="1" name="event_id"/>
    <x:tableColumn id="2" name="event_type"/>
    <x:tableColumn id="3" name="timestamp"/>
    <x:tableColumn id="4" name="segment_id"/>
    <x:tableColumn id="5" name="athlete_id"/>
    <x:tableColumn id="6" name="longitude"/>
    <x:tableColumn id="7" name="latitude"/>
    <x:tableColumn id="8" name="crowd_risk"/>
    <x:tableColumn id="9" name="visual_risk"/>
    <x:tableColumn id="10" name="health_risk"/>
    <x:tableColumn id="11" name="environment_risk"/>
    <x:tableColumn id="12" name="rescue_risk"/>
    <x:tableColumn id="13" name="comprehensive_risk"/>
    <x:tableColumn id="14" name="risk_level"/>
    <x:tableColumn id="15" name="event_status"/>
    <x:tableColumn id="16" name="assigned_uav"/>
    <x:tableColumn id="17" name="assigned_unit"/>
    <x:tableColumn id="18" name="detected_at"/>
    <x:tableColumn id="19" name="responded_at"/>
    <x:tableColumn id="20" name="completed_at"/>
    <x:tableColumn id="21" name="response_time_sec"/>
    <x:tableColumn id="22" name="handling_result"/>
    <x:tableColumn id="23" name="data_source"/>
    <x:tableColumn id="24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hangeLogTable" displayName="ChangeLogTable" ref="A1:F5" headerRowCount="1" totalsRowCount="0" totalsRowShown="0">
  <x:tableColumns count="6">
    <x:tableColumn id="1" name="版本"/>
    <x:tableColumn id="2" name="日期"/>
    <x:tableColumn id="3" name="修改人"/>
    <x:tableColumn id="4" name="修改内容"/>
    <x:tableColumn id="5" name="影响范围"/>
    <x:tableColumn id="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a15fe63e5946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3f124408394c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53ddd542c54f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eb5faf993074c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c8c97cae31349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89519e60714e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906b92c3d54b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8.130000114440918" hidden="0" customWidth="1"/>
    <x:col min="5" max="5" width="25" hidden="0" customWidth="1"/>
    <x:col min="6" max="6" width="20" hidden="0" customWidth="1"/>
    <x:col min="7" max="7" width="20" hidden="0" customWidth="1"/>
    <x:col min="8" max="8" width="16" hidden="0" customWidth="1"/>
    <x:col min="9" max="9" width="22" hidden="0" customWidth="1"/>
    <x:col min="10" max="10" width="36" hidden="0" customWidth="1"/>
  </x:cols>
  <x:sheetData>
    <x:row r="1" ht="22" customHeight="1">
      <x:c r="A1" s="32" t="str">
        <x:v>模块</x:v>
      </x:c>
      <x:c r="B1" s="33" t="str">
        <x:v>字段英文名</x:v>
      </x:c>
      <x:c r="C1" s="33" t="str">
        <x:v>中文名称</x:v>
      </x:c>
      <x:c r="D1" s="33" t="str">
        <x:v>数据类型</x:v>
      </x:c>
      <x:c r="E1" s="33" t="str">
        <x:v>单位或范围</x:v>
      </x:c>
      <x:c r="F1" s="33" t="str">
        <x:v>是否必填</x:v>
      </x:c>
      <x:c r="G1" s="33" t="str">
        <x:v>数据来源</x:v>
      </x:c>
      <x:c r="H1" s="33" t="str">
        <x:v>字段状态</x:v>
      </x:c>
      <x:c r="I1" s="33" t="str">
        <x:v>示例</x:v>
      </x:c>
      <x:c r="J1" s="33" t="str">
        <x:v>说明</x:v>
      </x:c>
    </x:row>
    <x:row r="2" ht="22" customHeight="1">
      <x:c r="A2" s="42" t="str">
        <x:v>公共</x:v>
      </x:c>
      <x:c r="B2" s="43" t="str">
        <x:v>timestamp</x:v>
      </x:c>
      <x:c r="C2" s="43" t="str">
        <x:v>采集时间</x:v>
      </x:c>
      <x:c r="D2" s="43" t="str">
        <x:v>日期时间</x:v>
      </x:c>
      <x:c r="E2" s="43" t="str">
        <x:v>yyyy-mm-dd hh:mm:ss</x:v>
      </x:c>
      <x:c r="F2" s="43" t="str">
        <x:v>动态数据必填</x:v>
      </x:c>
      <x:c r="G2" s="43" t="str">
        <x:v>全部模块</x:v>
      </x:c>
      <x:c r="H2" s="43" t="str">
        <x:v>已确认</x:v>
      </x:c>
      <x:c r="I2" s="43" t="str">
        <x:v>2026-08-24 09:30:10</x:v>
      </x:c>
      <x:c r="J2" s="43" t="str">
        <x:v>记录数据产生时间</x:v>
      </x:c>
    </x:row>
    <x:row r="3" ht="22" customHeight="1">
      <x:c r="A3" s="42" t="str">
        <x:v>公共</x:v>
      </x:c>
      <x:c r="B3" s="43" t="str">
        <x:v>source_type</x:v>
      </x:c>
      <x:c r="C3" s="43" t="str">
        <x:v>数据来源类型</x:v>
      </x:c>
      <x:c r="D3" s="43" t="str">
        <x:v>字符串</x:v>
      </x:c>
      <x:c r="E3" s="43" t="str">
        <x:v>UAV/WRISTBAND/GIS/WEATHER</x:v>
      </x:c>
      <x:c r="F3" s="43" t="str">
        <x:v>是</x:v>
      </x:c>
      <x:c r="G3" s="43" t="str">
        <x:v>全部模块</x:v>
      </x:c>
      <x:c r="H3" s="43" t="str">
        <x:v>已确认</x:v>
      </x:c>
      <x:c r="I3" s="43" t="str">
        <x:v>UAV</x:v>
      </x:c>
      <x:c r="J3" s="43" t="str">
        <x:v>判断数据来源模块</x:v>
      </x:c>
    </x:row>
    <x:row r="4" ht="22" customHeight="1">
      <x:c r="A4" s="42" t="str">
        <x:v>公共</x:v>
      </x:c>
      <x:c r="B4" s="43" t="str">
        <x:v>source_id</x:v>
      </x:c>
      <x:c r="C4" s="43" t="str">
        <x:v>数据源编号</x:v>
      </x:c>
      <x:c r="D4" s="43" t="str">
        <x:v>字符串</x:v>
      </x:c>
      <x:c r="E4" s="43" t="str">
        <x:v>无</x:v>
      </x:c>
      <x:c r="F4" s="43" t="str">
        <x:v>是</x:v>
      </x:c>
      <x:c r="G4" s="43" t="str">
        <x:v>全部模块</x:v>
      </x:c>
      <x:c r="H4" s="43" t="str">
        <x:v>已确认</x:v>
      </x:c>
      <x:c r="I4" s="43" t="str">
        <x:v>UAV-01</x:v>
      </x:c>
      <x:c r="J4" s="43" t="str">
        <x:v>区分设备或数据源</x:v>
      </x:c>
    </x:row>
    <x:row r="5" ht="22" customHeight="1">
      <x:c r="A5" s="42" t="str">
        <x:v>公共</x:v>
      </x:c>
      <x:c r="B5" s="43" t="str">
        <x:v>longitude</x:v>
      </x:c>
      <x:c r="C5" s="43" t="str">
        <x:v>经度</x:v>
      </x:c>
      <x:c r="D5" s="43" t="str">
        <x:v>小数</x:v>
      </x:c>
      <x:c r="E5" s="43" t="str">
        <x:v>-180～180°</x:v>
      </x:c>
      <x:c r="F5" s="43" t="str">
        <x:v>含位置数据时必填</x:v>
      </x:c>
      <x:c r="G5" s="43" t="str">
        <x:v>定位/GIS</x:v>
      </x:c>
      <x:c r="H5" s="43" t="str">
        <x:v>已确认</x:v>
      </x:c>
      <x:c r="I5" s="43" t="str">
        <x:v>118.8165</x:v>
      </x:c>
      <x:c r="J5" s="43" t="str">
        <x:v>统一采用WGS84</x:v>
      </x:c>
    </x:row>
    <x:row r="6" ht="22" customHeight="1">
      <x:c r="A6" s="42" t="str">
        <x:v>公共</x:v>
      </x:c>
      <x:c r="B6" s="43" t="str">
        <x:v>latitude</x:v>
      </x:c>
      <x:c r="C6" s="43" t="str">
        <x:v>纬度</x:v>
      </x:c>
      <x:c r="D6" s="43" t="str">
        <x:v>小数</x:v>
      </x:c>
      <x:c r="E6" s="43" t="str">
        <x:v>-90～90°</x:v>
      </x:c>
      <x:c r="F6" s="43" t="str">
        <x:v>含位置数据时必填</x:v>
      </x:c>
      <x:c r="G6" s="43" t="str">
        <x:v>定位/GIS</x:v>
      </x:c>
      <x:c r="H6" s="43" t="str">
        <x:v>已确认</x:v>
      </x:c>
      <x:c r="I6" s="43" t="str">
        <x:v>32.0832</x:v>
      </x:c>
      <x:c r="J6" s="43" t="str">
        <x:v>统一采用WGS84</x:v>
      </x:c>
    </x:row>
    <x:row r="7" ht="22" customHeight="1">
      <x:c r="A7" s="42" t="str">
        <x:v>公共</x:v>
      </x:c>
      <x:c r="B7" s="43" t="str">
        <x:v>coordinate_system</x:v>
      </x:c>
      <x:c r="C7" s="43" t="str">
        <x:v>坐标系统</x:v>
      </x:c>
      <x:c r="D7" s="43" t="str">
        <x:v>字符串</x:v>
      </x:c>
      <x:c r="E7" s="43" t="str">
        <x:v>无</x:v>
      </x:c>
      <x:c r="F7" s="43" t="str">
        <x:v>含位置数据时必填</x:v>
      </x:c>
      <x:c r="G7" s="43" t="str">
        <x:v>GIS</x:v>
      </x:c>
      <x:c r="H7" s="43" t="str">
        <x:v>已确认</x:v>
      </x:c>
      <x:c r="I7" s="43" t="str">
        <x:v>EPSG:4326</x:v>
      </x:c>
      <x:c r="J7" s="43" t="str">
        <x:v>当前统一使用WGS84</x:v>
      </x:c>
    </x:row>
    <x:row r="8" ht="22" customHeight="1">
      <x:c r="A8" s="42" t="str">
        <x:v>公共</x:v>
      </x:c>
      <x:c r="B8" s="43" t="str">
        <x:v>segment_id</x:v>
      </x:c>
      <x:c r="C8" s="43" t="str">
        <x:v>所属赛段</x:v>
      </x:c>
      <x:c r="D8" s="43" t="str">
        <x:v>字符串</x:v>
      </x:c>
      <x:c r="E8" s="43" t="str">
        <x:v>S1～S5</x:v>
      </x:c>
      <x:c r="F8" s="43" t="str">
        <x:v>是</x:v>
      </x:c>
      <x:c r="G8" s="43" t="str">
        <x:v>GIS空间判断</x:v>
      </x:c>
      <x:c r="H8" s="43" t="str">
        <x:v>已确认</x:v>
      </x:c>
      <x:c r="I8" s="43" t="str">
        <x:v>S4</x:v>
      </x:c>
      <x:c r="J8" s="43" t="str">
        <x:v>关联分赛段策略</x:v>
      </x:c>
    </x:row>
    <x:row r="9" ht="22" customHeight="1">
      <x:c r="A9" s="42" t="str">
        <x:v>公共</x:v>
      </x:c>
      <x:c r="B9" s="43" t="str">
        <x:v>data_quality</x:v>
      </x:c>
      <x:c r="C9" s="43" t="str">
        <x:v>数据质量</x:v>
      </x:c>
      <x:c r="D9" s="43" t="str">
        <x:v>小数</x:v>
      </x:c>
      <x:c r="E9" s="43" t="str">
        <x:v>0～1</x:v>
      </x:c>
      <x:c r="F9" s="43" t="str">
        <x:v>否</x:v>
      </x:c>
      <x:c r="G9" s="43" t="str">
        <x:v>各模块</x:v>
      </x:c>
      <x:c r="H9" s="43" t="str">
        <x:v>待确认</x:v>
      </x:c>
      <x:c r="I9" s="43" t="str">
        <x:v>0.92</x:v>
      </x:c>
      <x:c r="J9" s="43" t="str">
        <x:v>表示完整性或可信程度</x:v>
      </x:c>
    </x:row>
    <x:row r="10" ht="22" customHeight="1">
      <x:c r="A10" s="42" t="str">
        <x:v>公共</x:v>
      </x:c>
      <x:c r="B10" s="43" t="str">
        <x:v>data_status</x:v>
      </x:c>
      <x:c r="C10" s="43" t="str">
        <x:v>数据性质</x:v>
      </x:c>
      <x:c r="D10" s="43" t="str">
        <x:v>字符串</x:v>
      </x:c>
      <x:c r="E10" s="43" t="str">
        <x:v>模拟/公开/实测</x:v>
      </x:c>
      <x:c r="F10" s="43" t="str">
        <x:v>是</x:v>
      </x:c>
      <x:c r="G10" s="43" t="str">
        <x:v>各模块</x:v>
      </x:c>
      <x:c r="H10" s="43" t="str">
        <x:v>已确认</x:v>
      </x:c>
      <x:c r="I10" s="43" t="str">
        <x:v>模拟</x:v>
      </x:c>
      <x:c r="J10" s="43" t="str">
        <x:v>防止将模拟数据误当实测数据</x:v>
      </x:c>
    </x:row>
    <x:row r="11" ht="22" customHeight="1">
      <x:c r="A11" s="42" t="str">
        <x:v>运动员</x:v>
      </x:c>
      <x:c r="B11" s="43" t="str">
        <x:v>athlete_id</x:v>
      </x:c>
      <x:c r="C11" s="43" t="str">
        <x:v>运动员编号</x:v>
      </x:c>
      <x:c r="D11" s="43" t="str">
        <x:v>字符串</x:v>
      </x:c>
      <x:c r="E11" s="43" t="str">
        <x:v>R001…</x:v>
      </x:c>
      <x:c r="F11" s="43" t="str">
        <x:v>是</x:v>
      </x:c>
      <x:c r="G11" s="43" t="str">
        <x:v>报名/手环</x:v>
      </x:c>
      <x:c r="H11" s="43" t="str">
        <x:v>已确认</x:v>
      </x:c>
      <x:c r="I11" s="43" t="str">
        <x:v>R001</x:v>
      </x:c>
      <x:c r="J11" s="43" t="str">
        <x:v>匿名化运动员标识</x:v>
      </x:c>
    </x:row>
    <x:row r="12" ht="22" customHeight="1">
      <x:c r="A12" s="42" t="str">
        <x:v>运动员</x:v>
      </x:c>
      <x:c r="B12" s="43" t="str">
        <x:v>distance_km</x:v>
      </x:c>
      <x:c r="C12" s="43" t="str">
        <x:v>已完成距离</x:v>
      </x:c>
      <x:c r="D12" s="43" t="str">
        <x:v>小数</x:v>
      </x:c>
      <x:c r="E12" s="43" t="str">
        <x:v>km</x:v>
      </x:c>
      <x:c r="F12" s="43" t="str">
        <x:v>是</x:v>
      </x:c>
      <x:c r="G12" s="43" t="str">
        <x:v>定位/计时</x:v>
      </x:c>
      <x:c r="H12" s="43" t="str">
        <x:v>待确认</x:v>
      </x:c>
      <x:c r="I12" s="43" t="str">
        <x:v>32.8</x:v>
      </x:c>
      <x:c r="J12" s="43" t="str">
        <x:v>用于判断赛程位置</x:v>
      </x:c>
    </x:row>
    <x:row r="13" ht="22" customHeight="1">
      <x:c r="A13" s="42" t="str">
        <x:v>运动员</x:v>
      </x:c>
      <x:c r="B13" s="43" t="str">
        <x:v>speed_m_s</x:v>
      </x:c>
      <x:c r="C13" s="43" t="str">
        <x:v>当前速度</x:v>
      </x:c>
      <x:c r="D13" s="43" t="str">
        <x:v>小数</x:v>
      </x:c>
      <x:c r="E13" s="43" t="str">
        <x:v>m/s</x:v>
      </x:c>
      <x:c r="F13" s="43" t="str">
        <x:v>是</x:v>
      </x:c>
      <x:c r="G13" s="43" t="str">
        <x:v>手环/GNSS</x:v>
      </x:c>
      <x:c r="H13" s="43" t="str">
        <x:v>待确认</x:v>
      </x:c>
      <x:c r="I13" s="43" t="str">
        <x:v>2.7</x:v>
      </x:c>
      <x:c r="J13" s="43" t="str">
        <x:v>当前移动速度</x:v>
      </x:c>
    </x:row>
    <x:row r="14" ht="22" customHeight="1">
      <x:c r="A14" s="42" t="str">
        <x:v>运动员</x:v>
      </x:c>
      <x:c r="B14" s="43" t="str">
        <x:v>heart_rate_bpm</x:v>
      </x:c>
      <x:c r="C14" s="43" t="str">
        <x:v>心率</x:v>
      </x:c>
      <x:c r="D14" s="43" t="str">
        <x:v>整数</x:v>
      </x:c>
      <x:c r="E14" s="43" t="str">
        <x:v>bpm</x:v>
      </x:c>
      <x:c r="F14" s="43" t="str">
        <x:v>是</x:v>
      </x:c>
      <x:c r="G14" s="43" t="str">
        <x:v>手环</x:v>
      </x:c>
      <x:c r="H14" s="43" t="str">
        <x:v>待确认</x:v>
      </x:c>
      <x:c r="I14" s="43" t="str">
        <x:v>172</x:v>
      </x:c>
      <x:c r="J14" s="43" t="str">
        <x:v>原始生理数据，非医学诊断</x:v>
      </x:c>
    </x:row>
    <x:row r="15" ht="22" customHeight="1">
      <x:c r="A15" s="42" t="str">
        <x:v>运动员</x:v>
      </x:c>
      <x:c r="B15" s="43" t="str">
        <x:v>spo2_pct</x:v>
      </x:c>
      <x:c r="C15" s="43" t="str">
        <x:v>血氧饱和度</x:v>
      </x:c>
      <x:c r="D15" s="43" t="str">
        <x:v>小数</x:v>
      </x:c>
      <x:c r="E15" s="43" t="str">
        <x:v>%</x:v>
      </x:c>
      <x:c r="F15" s="43" t="str">
        <x:v>否</x:v>
      </x:c>
      <x:c r="G15" s="43" t="str">
        <x:v>手环</x:v>
      </x:c>
      <x:c r="H15" s="43" t="str">
        <x:v>待确认</x:v>
      </x:c>
      <x:c r="I15" s="43" t="str">
        <x:v>94</x:v>
      </x:c>
      <x:c r="J15" s="43" t="str">
        <x:v>原始生理数据，非医学诊断</x:v>
      </x:c>
    </x:row>
    <x:row r="16" ht="22" customHeight="1">
      <x:c r="A16" s="42" t="str">
        <x:v>运动员</x:v>
      </x:c>
      <x:c r="B16" s="43" t="str">
        <x:v>acceleration_m_s2</x:v>
      </x:c>
      <x:c r="C16" s="43" t="str">
        <x:v>加速度</x:v>
      </x:c>
      <x:c r="D16" s="43" t="str">
        <x:v>小数</x:v>
      </x:c>
      <x:c r="E16" s="43" t="str">
        <x:v>m/s²</x:v>
      </x:c>
      <x:c r="F16" s="43" t="str">
        <x:v>否</x:v>
      </x:c>
      <x:c r="G16" s="43" t="str">
        <x:v>手环</x:v>
      </x:c>
      <x:c r="H16" s="43" t="str">
        <x:v>待确认</x:v>
      </x:c>
      <x:c r="I16" s="43" t="str">
        <x:v>0.9</x:v>
      </x:c>
      <x:c r="J16" s="43" t="str">
        <x:v>辅助判断运动异常</x:v>
      </x:c>
    </x:row>
    <x:row r="17" ht="22" customHeight="1">
      <x:c r="A17" s="42" t="str">
        <x:v>运动员</x:v>
      </x:c>
      <x:c r="B17" s="43" t="str">
        <x:v>device_battery_pct</x:v>
      </x:c>
      <x:c r="C17" s="43" t="str">
        <x:v>设备电量</x:v>
      </x:c>
      <x:c r="D17" s="43" t="str">
        <x:v>小数</x:v>
      </x:c>
      <x:c r="E17" s="43" t="str">
        <x:v>%</x:v>
      </x:c>
      <x:c r="F17" s="43" t="str">
        <x:v>否</x:v>
      </x:c>
      <x:c r="G17" s="43" t="str">
        <x:v>手环</x:v>
      </x:c>
      <x:c r="H17" s="43" t="str">
        <x:v>待确认</x:v>
      </x:c>
      <x:c r="I17" s="43" t="str">
        <x:v>75</x:v>
      </x:c>
      <x:c r="J17" s="43" t="str">
        <x:v>判断设备可用性</x:v>
      </x:c>
    </x:row>
    <x:row r="18" ht="22" customHeight="1">
      <x:c r="A18" s="42" t="str">
        <x:v>运动员</x:v>
      </x:c>
      <x:c r="B18" s="43" t="str">
        <x:v>heart_rate_risk</x:v>
      </x:c>
      <x:c r="C18" s="43" t="str">
        <x:v>心率风险</x:v>
      </x:c>
      <x:c r="D18" s="43" t="str">
        <x:v>小数</x:v>
      </x:c>
      <x:c r="E18" s="43" t="str">
        <x:v>0～1</x:v>
      </x:c>
      <x:c r="F18" s="43" t="str">
        <x:v>否</x:v>
      </x:c>
      <x:c r="G18" s="43" t="str">
        <x:v>规则计算</x:v>
      </x:c>
      <x:c r="H18" s="43" t="str">
        <x:v>原型</x:v>
      </x:c>
      <x:c r="I18" s="43" t="str">
        <x:v>0.40</x:v>
      </x:c>
      <x:c r="J18" s="43" t="str">
        <x:v>当前阈值为演示值</x:v>
      </x:c>
    </x:row>
    <x:row r="19" ht="22" customHeight="1">
      <x:c r="A19" s="42" t="str">
        <x:v>运动员</x:v>
      </x:c>
      <x:c r="B19" s="43" t="str">
        <x:v>spo2_risk</x:v>
      </x:c>
      <x:c r="C19" s="43" t="str">
        <x:v>血氧风险</x:v>
      </x:c>
      <x:c r="D19" s="43" t="str">
        <x:v>小数</x:v>
      </x:c>
      <x:c r="E19" s="43" t="str">
        <x:v>0～1</x:v>
      </x:c>
      <x:c r="F19" s="43" t="str">
        <x:v>否</x:v>
      </x:c>
      <x:c r="G19" s="43" t="str">
        <x:v>规则计算</x:v>
      </x:c>
      <x:c r="H19" s="43" t="str">
        <x:v>原型</x:v>
      </x:c>
      <x:c r="I19" s="43" t="str">
        <x:v>0.40</x:v>
      </x:c>
      <x:c r="J19" s="43" t="str">
        <x:v>当前阈值为演示值</x:v>
      </x:c>
    </x:row>
    <x:row r="20" ht="22" customHeight="1">
      <x:c r="A20" s="42" t="str">
        <x:v>运动员</x:v>
      </x:c>
      <x:c r="B20" s="43" t="str">
        <x:v>motion_risk</x:v>
      </x:c>
      <x:c r="C20" s="43" t="str">
        <x:v>运动异常风险</x:v>
      </x:c>
      <x:c r="D20" s="43" t="str">
        <x:v>小数</x:v>
      </x:c>
      <x:c r="E20" s="43" t="str">
        <x:v>0～1</x:v>
      </x:c>
      <x:c r="F20" s="43" t="str">
        <x:v>否</x:v>
      </x:c>
      <x:c r="G20" s="43" t="str">
        <x:v>规则计算</x:v>
      </x:c>
      <x:c r="H20" s="43" t="str">
        <x:v>原型</x:v>
      </x:c>
      <x:c r="I20" s="43" t="str">
        <x:v>0.10</x:v>
      </x:c>
      <x:c r="J20" s="43" t="str">
        <x:v>结合速度和加速度</x:v>
      </x:c>
    </x:row>
    <x:row r="21" ht="22" customHeight="1">
      <x:c r="A21" s="42" t="str">
        <x:v>运动员</x:v>
      </x:c>
      <x:c r="B21" s="43" t="str">
        <x:v>health_risk</x:v>
      </x:c>
      <x:c r="C21" s="43" t="str">
        <x:v>综合健康风险H</x:v>
      </x:c>
      <x:c r="D21" s="43" t="str">
        <x:v>小数</x:v>
      </x:c>
      <x:c r="E21" s="43" t="str">
        <x:v>0～1</x:v>
      </x:c>
      <x:c r="F21" s="43" t="str">
        <x:v>否</x:v>
      </x:c>
      <x:c r="G21" s="43" t="str">
        <x:v>规则计算</x:v>
      </x:c>
      <x:c r="H21" s="43" t="str">
        <x:v>原型</x:v>
      </x:c>
      <x:c r="I21" s="43" t="str">
        <x:v>0.33</x:v>
      </x:c>
      <x:c r="J21" s="43" t="str">
        <x:v>由心率、血氧、运动风险融合</x:v>
      </x:c>
    </x:row>
    <x:row r="22" ht="22" customHeight="1">
      <x:c r="A22" s="42" t="str">
        <x:v>无人机</x:v>
      </x:c>
      <x:c r="B22" s="43" t="str">
        <x:v>uav_id</x:v>
      </x:c>
      <x:c r="C22" s="43" t="str">
        <x:v>无人机编号</x:v>
      </x:c>
      <x:c r="D22" s="43" t="str">
        <x:v>字符串</x:v>
      </x:c>
      <x:c r="E22" s="43" t="str">
        <x:v>UAV-01…</x:v>
      </x:c>
      <x:c r="F22" s="43" t="str">
        <x:v>是</x:v>
      </x:c>
      <x:c r="G22" s="43" t="str">
        <x:v>无人机</x:v>
      </x:c>
      <x:c r="H22" s="43" t="str">
        <x:v>已确认</x:v>
      </x:c>
      <x:c r="I22" s="43" t="str">
        <x:v>UAV-01</x:v>
      </x:c>
      <x:c r="J22" s="43" t="str">
        <x:v>飞行平台编号</x:v>
      </x:c>
    </x:row>
    <x:row r="23" ht="22" customHeight="1">
      <x:c r="A23" s="42" t="str">
        <x:v>无人机</x:v>
      </x:c>
      <x:c r="B23" s="43" t="str">
        <x:v>altitude_m</x:v>
      </x:c>
      <x:c r="C23" s="43" t="str">
        <x:v>飞行高度</x:v>
      </x:c>
      <x:c r="D23" s="43" t="str">
        <x:v>小数</x:v>
      </x:c>
      <x:c r="E23" s="43" t="str">
        <x:v>m</x:v>
      </x:c>
      <x:c r="F23" s="43" t="str">
        <x:v>是</x:v>
      </x:c>
      <x:c r="G23" s="43" t="str">
        <x:v>无人机</x:v>
      </x:c>
      <x:c r="H23" s="43" t="str">
        <x:v>待确认</x:v>
      </x:c>
      <x:c r="I23" s="43" t="str">
        <x:v>85</x:v>
      </x:c>
      <x:c r="J23" s="43" t="str">
        <x:v>无人机相对飞行高度</x:v>
      </x:c>
    </x:row>
    <x:row r="24" ht="22" customHeight="1">
      <x:c r="A24" s="42" t="str">
        <x:v>无人机</x:v>
      </x:c>
      <x:c r="B24" s="43" t="str">
        <x:v>battery_pct</x:v>
      </x:c>
      <x:c r="C24" s="43" t="str">
        <x:v>无人机电量</x:v>
      </x:c>
      <x:c r="D24" s="43" t="str">
        <x:v>小数</x:v>
      </x:c>
      <x:c r="E24" s="43" t="str">
        <x:v>%</x:v>
      </x:c>
      <x:c r="F24" s="43" t="str">
        <x:v>是</x:v>
      </x:c>
      <x:c r="G24" s="43" t="str">
        <x:v>无人机</x:v>
      </x:c>
      <x:c r="H24" s="43" t="str">
        <x:v>待确认</x:v>
      </x:c>
      <x:c r="I24" s="43" t="str">
        <x:v>96</x:v>
      </x:c>
      <x:c r="J24" s="43" t="str">
        <x:v>用于任务调度</x:v>
      </x:c>
    </x:row>
    <x:row r="25" ht="22" customHeight="1">
      <x:c r="A25" s="42" t="str">
        <x:v>无人机</x:v>
      </x:c>
      <x:c r="B25" s="43" t="str">
        <x:v>detected_people</x:v>
      </x:c>
      <x:c r="C25" s="43" t="str">
        <x:v>检测人数</x:v>
      </x:c>
      <x:c r="D25" s="43" t="str">
        <x:v>整数</x:v>
      </x:c>
      <x:c r="E25" s="43" t="str">
        <x:v>人</x:v>
      </x:c>
      <x:c r="F25" s="43" t="str">
        <x:v>否</x:v>
      </x:c>
      <x:c r="G25" s="43" t="str">
        <x:v>视觉模型</x:v>
      </x:c>
      <x:c r="H25" s="43" t="str">
        <x:v>待确认</x:v>
      </x:c>
      <x:c r="I25" s="43" t="str">
        <x:v>82</x:v>
      </x:c>
      <x:c r="J25" s="43" t="str">
        <x:v>模型检测到的人数</x:v>
      </x:c>
    </x:row>
    <x:row r="26" ht="22" customHeight="1">
      <x:c r="A26" s="42" t="str">
        <x:v>无人机</x:v>
      </x:c>
      <x:c r="B26" s="43" t="str">
        <x:v>crowd_density_person_m2</x:v>
      </x:c>
      <x:c r="C26" s="43" t="str">
        <x:v>人群密度</x:v>
      </x:c>
      <x:c r="D26" s="43" t="str">
        <x:v>小数</x:v>
      </x:c>
      <x:c r="E26" s="43" t="str">
        <x:v>人/m²</x:v>
      </x:c>
      <x:c r="F26" s="43" t="str">
        <x:v>否</x:v>
      </x:c>
      <x:c r="G26" s="43" t="str">
        <x:v>视觉模型</x:v>
      </x:c>
      <x:c r="H26" s="43" t="str">
        <x:v>待确认</x:v>
      </x:c>
      <x:c r="I26" s="43" t="str">
        <x:v>2.8</x:v>
      </x:c>
      <x:c r="J26" s="43" t="str">
        <x:v>人群聚集指标</x:v>
      </x:c>
    </x:row>
    <x:row r="27" ht="22" customHeight="1">
      <x:c r="A27" s="42" t="str">
        <x:v>无人机</x:v>
      </x:c>
      <x:c r="B27" s="43" t="str">
        <x:v>average_speed_m_s</x:v>
      </x:c>
      <x:c r="C27" s="43" t="str">
        <x:v>人群平均速度</x:v>
      </x:c>
      <x:c r="D27" s="43" t="str">
        <x:v>小数</x:v>
      </x:c>
      <x:c r="E27" s="43" t="str">
        <x:v>m/s</x:v>
      </x:c>
      <x:c r="F27" s="43" t="str">
        <x:v>否</x:v>
      </x:c>
      <x:c r="G27" s="43" t="str">
        <x:v>视觉/跟踪</x:v>
      </x:c>
      <x:c r="H27" s="43" t="str">
        <x:v>待确认</x:v>
      </x:c>
      <x:c r="I27" s="43" t="str">
        <x:v>2.4</x:v>
      </x:c>
      <x:c r="J27" s="43" t="str">
        <x:v>辅助判断拥堵</x:v>
      </x:c>
    </x:row>
    <x:row r="28" ht="22" customHeight="1">
      <x:c r="A28" s="42" t="str">
        <x:v>无人机</x:v>
      </x:c>
      <x:c r="B28" s="43" t="str">
        <x:v>fall_confidence</x:v>
      </x:c>
      <x:c r="C28" s="43" t="str">
        <x:v>跌倒置信度</x:v>
      </x:c>
      <x:c r="D28" s="43" t="str">
        <x:v>小数</x:v>
      </x:c>
      <x:c r="E28" s="43" t="str">
        <x:v>0～1</x:v>
      </x:c>
      <x:c r="F28" s="43" t="str">
        <x:v>否</x:v>
      </x:c>
      <x:c r="G28" s="43" t="str">
        <x:v>视觉模型</x:v>
      </x:c>
      <x:c r="H28" s="43" t="str">
        <x:v>待确认</x:v>
      </x:c>
      <x:c r="I28" s="43" t="str">
        <x:v>0.92</x:v>
      </x:c>
      <x:c r="J28" s="43" t="str">
        <x:v>模型输出，不等于真实准确率</x:v>
      </x:c>
    </x:row>
    <x:row r="29" ht="22" customHeight="1">
      <x:c r="A29" s="42" t="str">
        <x:v>无人机</x:v>
      </x:c>
      <x:c r="B29" s="43" t="str">
        <x:v>crowd_risk</x:v>
      </x:c>
      <x:c r="C29" s="43" t="str">
        <x:v>聚集风险C</x:v>
      </x:c>
      <x:c r="D29" s="43" t="str">
        <x:v>小数</x:v>
      </x:c>
      <x:c r="E29" s="43" t="str">
        <x:v>0～1</x:v>
      </x:c>
      <x:c r="F29" s="43" t="str">
        <x:v>否</x:v>
      </x:c>
      <x:c r="G29" s="43" t="str">
        <x:v>规则计算</x:v>
      </x:c>
      <x:c r="H29" s="43" t="str">
        <x:v>原型</x:v>
      </x:c>
      <x:c r="I29" s="43" t="str">
        <x:v>0.80</x:v>
      </x:c>
      <x:c r="J29" s="43" t="str">
        <x:v>由人群密度标准化</x:v>
      </x:c>
    </x:row>
    <x:row r="30" ht="22" customHeight="1">
      <x:c r="A30" s="42" t="str">
        <x:v>无人机</x:v>
      </x:c>
      <x:c r="B30" s="43" t="str">
        <x:v>visual_risk</x:v>
      </x:c>
      <x:c r="C30" s="43" t="str">
        <x:v>视觉异常风险V</x:v>
      </x:c>
      <x:c r="D30" s="43" t="str">
        <x:v>小数</x:v>
      </x:c>
      <x:c r="E30" s="43" t="str">
        <x:v>0～1</x:v>
      </x:c>
      <x:c r="F30" s="43" t="str">
        <x:v>否</x:v>
      </x:c>
      <x:c r="G30" s="43" t="str">
        <x:v>规则计算</x:v>
      </x:c>
      <x:c r="H30" s="43" t="str">
        <x:v>原型</x:v>
      </x:c>
      <x:c r="I30" s="43" t="str">
        <x:v>0.92</x:v>
      </x:c>
      <x:c r="J30" s="43" t="str">
        <x:v>聚集与跌倒风险融合</x:v>
      </x:c>
    </x:row>
    <x:row r="31" ht="22" customHeight="1">
      <x:c r="A31" s="42" t="str">
        <x:v>无人机</x:v>
      </x:c>
      <x:c r="B31" s="43" t="str">
        <x:v>mission_type</x:v>
      </x:c>
      <x:c r="C31" s="43" t="str">
        <x:v>无人机任务</x:v>
      </x:c>
      <x:c r="D31" s="43" t="str">
        <x:v>字符串</x:v>
      </x:c>
      <x:c r="E31" s="43" t="str">
        <x:v>巡检/跟踪/复核</x:v>
      </x:c>
      <x:c r="F31" s="43" t="str">
        <x:v>否</x:v>
      </x:c>
      <x:c r="G31" s="43" t="str">
        <x:v>平台调度</x:v>
      </x:c>
      <x:c r="H31" s="43" t="str">
        <x:v>待确认</x:v>
      </x:c>
      <x:c r="I31" s="43" t="str">
        <x:v>跌倒事件复核</x:v>
      </x:c>
      <x:c r="J31" s="43" t="str">
        <x:v>平台任务输出</x:v>
      </x:c>
    </x:row>
    <x:row r="32" ht="22" customHeight="1">
      <x:c r="A32" s="42" t="str">
        <x:v>GIS</x:v>
      </x:c>
      <x:c r="B32" s="43" t="str">
        <x:v>segment_name</x:v>
      </x:c>
      <x:c r="C32" s="43" t="str">
        <x:v>赛段名称</x:v>
      </x:c>
      <x:c r="D32" s="43" t="str">
        <x:v>字符串</x:v>
      </x:c>
      <x:c r="E32" s="43" t="str">
        <x:v>无</x:v>
      </x:c>
      <x:c r="F32" s="43" t="str">
        <x:v>是</x:v>
      </x:c>
      <x:c r="G32" s="43" t="str">
        <x:v>GIS</x:v>
      </x:c>
      <x:c r="H32" s="43" t="str">
        <x:v>已确认</x:v>
      </x:c>
      <x:c r="I32" s="43" t="str">
        <x:v>后程体能风险区</x:v>
      </x:c>
      <x:c r="J32" s="43" t="str">
        <x:v>用于地图显示</x:v>
      </x:c>
    </x:row>
    <x:row r="33" ht="22" customHeight="1">
      <x:c r="A33" s="42" t="str">
        <x:v>GIS</x:v>
      </x:c>
      <x:c r="B33" s="43" t="str">
        <x:v>start_km</x:v>
      </x:c>
      <x:c r="C33" s="43" t="str">
        <x:v>起始里程</x:v>
      </x:c>
      <x:c r="D33" s="43" t="str">
        <x:v>小数</x:v>
      </x:c>
      <x:c r="E33" s="43" t="str">
        <x:v>km</x:v>
      </x:c>
      <x:c r="F33" s="43" t="str">
        <x:v>是</x:v>
      </x:c>
      <x:c r="G33" s="43" t="str">
        <x:v>GIS</x:v>
      </x:c>
      <x:c r="H33" s="43" t="str">
        <x:v>已确认</x:v>
      </x:c>
      <x:c r="I33" s="43" t="str">
        <x:v>28</x:v>
      </x:c>
      <x:c r="J33" s="43" t="str">
        <x:v>赛段起点</x:v>
      </x:c>
    </x:row>
    <x:row r="34" ht="22" customHeight="1">
      <x:c r="A34" s="42" t="str">
        <x:v>GIS</x:v>
      </x:c>
      <x:c r="B34" s="43" t="str">
        <x:v>end_km</x:v>
      </x:c>
      <x:c r="C34" s="43" t="str">
        <x:v>结束里程</x:v>
      </x:c>
      <x:c r="D34" s="43" t="str">
        <x:v>小数</x:v>
      </x:c>
      <x:c r="E34" s="43" t="str">
        <x:v>km</x:v>
      </x:c>
      <x:c r="F34" s="43" t="str">
        <x:v>是</x:v>
      </x:c>
      <x:c r="G34" s="43" t="str">
        <x:v>GIS</x:v>
      </x:c>
      <x:c r="H34" s="43" t="str">
        <x:v>已确认</x:v>
      </x:c>
      <x:c r="I34" s="43" t="str">
        <x:v>37</x:v>
      </x:c>
      <x:c r="J34" s="43" t="str">
        <x:v>赛段终点</x:v>
      </x:c>
    </x:row>
    <x:row r="35" ht="22" customHeight="1">
      <x:c r="A35" s="42" t="str">
        <x:v>GIS</x:v>
      </x:c>
      <x:c r="B35" s="43" t="str">
        <x:v>geometry</x:v>
      </x:c>
      <x:c r="C35" s="43" t="str">
        <x:v>空间几何</x:v>
      </x:c>
      <x:c r="D35" s="43" t="str">
        <x:v>GeoJSON</x:v>
      </x:c>
      <x:c r="E35" s="43" t="str">
        <x:v>线/面</x:v>
      </x:c>
      <x:c r="F35" s="43" t="str">
        <x:v>是</x:v>
      </x:c>
      <x:c r="G35" s="43" t="str">
        <x:v>GIS</x:v>
      </x:c>
      <x:c r="H35" s="43" t="str">
        <x:v>待补充</x:v>
      </x:c>
      <x:c r="I35" s="43" t="str">
        <x:v>GeoJSON待补充</x:v>
      </x:c>
      <x:c r="J35" s="43" t="str">
        <x:v>用于Cesium显示</x:v>
      </x:c>
    </x:row>
    <x:row r="36" ht="22" customHeight="1">
      <x:c r="A36" s="42" t="str">
        <x:v>GIS</x:v>
      </x:c>
      <x:c r="B36" s="43" t="str">
        <x:v>average_slope_pct</x:v>
      </x:c>
      <x:c r="C36" s="43" t="str">
        <x:v>平均坡度</x:v>
      </x:c>
      <x:c r="D36" s="43" t="str">
        <x:v>小数</x:v>
      </x:c>
      <x:c r="E36" s="43" t="str">
        <x:v>%</x:v>
      </x:c>
      <x:c r="F36" s="43" t="str">
        <x:v>否</x:v>
      </x:c>
      <x:c r="G36" s="43" t="str">
        <x:v>GIS/DEM</x:v>
      </x:c>
      <x:c r="H36" s="43" t="str">
        <x:v>待确认</x:v>
      </x:c>
      <x:c r="I36" s="43" t="str">
        <x:v>3.2</x:v>
      </x:c>
      <x:c r="J36" s="43" t="str">
        <x:v>辅助评估体能和环境风险</x:v>
      </x:c>
    </x:row>
    <x:row r="37" ht="22" customHeight="1">
      <x:c r="A37" s="42" t="str">
        <x:v>GIS</x:v>
      </x:c>
      <x:c r="B37" s="43" t="str">
        <x:v>road_width_m</x:v>
      </x:c>
      <x:c r="C37" s="43" t="str">
        <x:v>道路宽度</x:v>
      </x:c>
      <x:c r="D37" s="43" t="str">
        <x:v>小数</x:v>
      </x:c>
      <x:c r="E37" s="43" t="str">
        <x:v>m</x:v>
      </x:c>
      <x:c r="F37" s="43" t="str">
        <x:v>否</x:v>
      </x:c>
      <x:c r="G37" s="43" t="str">
        <x:v>GIS/测量</x:v>
      </x:c>
      <x:c r="H37" s="43" t="str">
        <x:v>待确认</x:v>
      </x:c>
      <x:c r="I37" s="43" t="str">
        <x:v>7</x:v>
      </x:c>
      <x:c r="J37" s="43" t="str">
        <x:v>辅助评估通行能力</x:v>
      </x:c>
    </x:row>
    <x:row r="38" ht="22" customHeight="1">
      <x:c r="A38" s="42" t="str">
        <x:v>GIS</x:v>
      </x:c>
      <x:c r="B38" s="43" t="str">
        <x:v>medical_point_id</x:v>
      </x:c>
      <x:c r="C38" s="43" t="str">
        <x:v>最近医疗点</x:v>
      </x:c>
      <x:c r="D38" s="43" t="str">
        <x:v>字符串</x:v>
      </x:c>
      <x:c r="E38" s="43" t="str">
        <x:v>M01…</x:v>
      </x:c>
      <x:c r="F38" s="43" t="str">
        <x:v>否</x:v>
      </x:c>
      <x:c r="G38" s="43" t="str">
        <x:v>GIS</x:v>
      </x:c>
      <x:c r="H38" s="43" t="str">
        <x:v>待确认</x:v>
      </x:c>
      <x:c r="I38" s="43" t="str">
        <x:v>M04</x:v>
      </x:c>
      <x:c r="J38" s="43" t="str">
        <x:v>用于救援调度</x:v>
      </x:c>
    </x:row>
    <x:row r="39" ht="22" customHeight="1">
      <x:c r="A39" s="42" t="str">
        <x:v>GIS</x:v>
      </x:c>
      <x:c r="B39" s="43" t="str">
        <x:v>rescue_distance_m</x:v>
      </x:c>
      <x:c r="C39" s="43" t="str">
        <x:v>救援距离</x:v>
      </x:c>
      <x:c r="D39" s="43" t="str">
        <x:v>小数</x:v>
      </x:c>
      <x:c r="E39" s="43" t="str">
        <x:v>m</x:v>
      </x:c>
      <x:c r="F39" s="43" t="str">
        <x:v>否</x:v>
      </x:c>
      <x:c r="G39" s="43" t="str">
        <x:v>GIS分析</x:v>
      </x:c>
      <x:c r="H39" s="43" t="str">
        <x:v>待确认</x:v>
      </x:c>
      <x:c r="I39" s="43" t="str">
        <x:v>650</x:v>
      </x:c>
      <x:c r="J39" s="43" t="str">
        <x:v>到最近医疗点的路径距离</x:v>
      </x:c>
    </x:row>
    <x:row r="40" ht="22" customHeight="1">
      <x:c r="A40" s="42" t="str">
        <x:v>GIS</x:v>
      </x:c>
      <x:c r="B40" s="43" t="str">
        <x:v>rescue_risk</x:v>
      </x:c>
      <x:c r="C40" s="43" t="str">
        <x:v>救援资源风险R</x:v>
      </x:c>
      <x:c r="D40" s="43" t="str">
        <x:v>小数</x:v>
      </x:c>
      <x:c r="E40" s="43" t="str">
        <x:v>0～1</x:v>
      </x:c>
      <x:c r="F40" s="43" t="str">
        <x:v>否</x:v>
      </x:c>
      <x:c r="G40" s="43" t="str">
        <x:v>规则计算</x:v>
      </x:c>
      <x:c r="H40" s="43" t="str">
        <x:v>原型</x:v>
      </x:c>
      <x:c r="I40" s="43" t="str">
        <x:v>0.43</x:v>
      </x:c>
      <x:c r="J40" s="43" t="str">
        <x:v>由救援距离标准化</x:v>
      </x:c>
    </x:row>
    <x:row r="41" ht="22" customHeight="1">
      <x:c r="A41" s="42" t="str">
        <x:v>环境</x:v>
      </x:c>
      <x:c r="B41" s="43" t="str">
        <x:v>temperature_c</x:v>
      </x:c>
      <x:c r="C41" s="43" t="str">
        <x:v>温度</x:v>
      </x:c>
      <x:c r="D41" s="43" t="str">
        <x:v>小数</x:v>
      </x:c>
      <x:c r="E41" s="43" t="str">
        <x:v>℃</x:v>
      </x:c>
      <x:c r="F41" s="43" t="str">
        <x:v>是</x:v>
      </x:c>
      <x:c r="G41" s="43" t="str">
        <x:v>气象</x:v>
      </x:c>
      <x:c r="H41" s="43" t="str">
        <x:v>待确认</x:v>
      </x:c>
      <x:c r="I41" s="43" t="str">
        <x:v>34.5</x:v>
      </x:c>
      <x:c r="J41" s="43" t="str">
        <x:v>环境原始数据</x:v>
      </x:c>
    </x:row>
    <x:row r="42" ht="22" customHeight="1">
      <x:c r="A42" s="42" t="str">
        <x:v>环境</x:v>
      </x:c>
      <x:c r="B42" s="43" t="str">
        <x:v>humidity_pct</x:v>
      </x:c>
      <x:c r="C42" s="43" t="str">
        <x:v>湿度</x:v>
      </x:c>
      <x:c r="D42" s="43" t="str">
        <x:v>小数</x:v>
      </x:c>
      <x:c r="E42" s="43" t="str">
        <x:v>%</x:v>
      </x:c>
      <x:c r="F42" s="43" t="str">
        <x:v>是</x:v>
      </x:c>
      <x:c r="G42" s="43" t="str">
        <x:v>气象</x:v>
      </x:c>
      <x:c r="H42" s="43" t="str">
        <x:v>待确认</x:v>
      </x:c>
      <x:c r="I42" s="43" t="str">
        <x:v>78</x:v>
      </x:c>
      <x:c r="J42" s="43" t="str">
        <x:v>环境原始数据</x:v>
      </x:c>
    </x:row>
    <x:row r="43" ht="22" customHeight="1">
      <x:c r="A43" s="42" t="str">
        <x:v>环境</x:v>
      </x:c>
      <x:c r="B43" s="43" t="str">
        <x:v>wind_speed_m_s</x:v>
      </x:c>
      <x:c r="C43" s="43" t="str">
        <x:v>风速</x:v>
      </x:c>
      <x:c r="D43" s="43" t="str">
        <x:v>小数</x:v>
      </x:c>
      <x:c r="E43" s="43" t="str">
        <x:v>m/s</x:v>
      </x:c>
      <x:c r="F43" s="43" t="str">
        <x:v>否</x:v>
      </x:c>
      <x:c r="G43" s="43" t="str">
        <x:v>气象</x:v>
      </x:c>
      <x:c r="H43" s="43" t="str">
        <x:v>待确认</x:v>
      </x:c>
      <x:c r="I43" s="43" t="str">
        <x:v>1.2</x:v>
      </x:c>
      <x:c r="J43" s="43" t="str">
        <x:v>环境原始数据</x:v>
      </x:c>
    </x:row>
    <x:row r="44" ht="22" customHeight="1">
      <x:c r="A44" s="42" t="str">
        <x:v>环境</x:v>
      </x:c>
      <x:c r="B44" s="43" t="str">
        <x:v>rainfall_mm</x:v>
      </x:c>
      <x:c r="C44" s="43" t="str">
        <x:v>降雨量</x:v>
      </x:c>
      <x:c r="D44" s="43" t="str">
        <x:v>小数</x:v>
      </x:c>
      <x:c r="E44" s="43" t="str">
        <x:v>mm</x:v>
      </x:c>
      <x:c r="F44" s="43" t="str">
        <x:v>否</x:v>
      </x:c>
      <x:c r="G44" s="43" t="str">
        <x:v>气象</x:v>
      </x:c>
      <x:c r="H44" s="43" t="str">
        <x:v>待确认</x:v>
      </x:c>
      <x:c r="I44" s="43" t="str">
        <x:v>3</x:v>
      </x:c>
      <x:c r="J44" s="43" t="str">
        <x:v>环境原始数据</x:v>
      </x:c>
    </x:row>
    <x:row r="45" ht="22" customHeight="1">
      <x:c r="A45" s="42" t="str">
        <x:v>环境</x:v>
      </x:c>
      <x:c r="B45" s="43" t="str">
        <x:v>heat_index_c</x:v>
      </x:c>
      <x:c r="C45" s="43" t="str">
        <x:v>热指数</x:v>
      </x:c>
      <x:c r="D45" s="43" t="str">
        <x:v>小数</x:v>
      </x:c>
      <x:c r="E45" s="43" t="str">
        <x:v>℃</x:v>
      </x:c>
      <x:c r="F45" s="43" t="str">
        <x:v>否</x:v>
      </x:c>
      <x:c r="G45" s="43" t="str">
        <x:v>气象/计算</x:v>
      </x:c>
      <x:c r="H45" s="43" t="str">
        <x:v>待确认</x:v>
      </x:c>
      <x:c r="I45" s="43" t="str">
        <x:v>40.2</x:v>
      </x:c>
      <x:c r="J45" s="43" t="str">
        <x:v>体感热风险参考</x:v>
      </x:c>
    </x:row>
    <x:row r="46" ht="22" customHeight="1">
      <x:c r="A46" s="42" t="str">
        <x:v>环境</x:v>
      </x:c>
      <x:c r="B46" s="43" t="str">
        <x:v>environment_risk</x:v>
      </x:c>
      <x:c r="C46" s="43" t="str">
        <x:v>环境风险E</x:v>
      </x:c>
      <x:c r="D46" s="43" t="str">
        <x:v>小数</x:v>
      </x:c>
      <x:c r="E46" s="43" t="str">
        <x:v>0～1</x:v>
      </x:c>
      <x:c r="F46" s="43" t="str">
        <x:v>否</x:v>
      </x:c>
      <x:c r="G46" s="43" t="str">
        <x:v>规则计算</x:v>
      </x:c>
      <x:c r="H46" s="43" t="str">
        <x:v>原型</x:v>
      </x:c>
      <x:c r="I46" s="43" t="str">
        <x:v>0.69</x:v>
      </x:c>
      <x:c r="J46" s="43" t="str">
        <x:v>温度、湿度和降雨融合</x:v>
      </x:c>
    </x:row>
    <x:row r="47" ht="22" customHeight="1">
      <x:c r="A47" s="42" t="str">
        <x:v>事件</x:v>
      </x:c>
      <x:c r="B47" s="43" t="str">
        <x:v>event_id</x:v>
      </x:c>
      <x:c r="C47" s="43" t="str">
        <x:v>事件编号</x:v>
      </x:c>
      <x:c r="D47" s="43" t="str">
        <x:v>字符串</x:v>
      </x:c>
      <x:c r="E47" s="43" t="str">
        <x:v>EVT-0001…</x:v>
      </x:c>
      <x:c r="F47" s="43" t="str">
        <x:v>是</x:v>
      </x:c>
      <x:c r="G47" s="43" t="str">
        <x:v>平台</x:v>
      </x:c>
      <x:c r="H47" s="43" t="str">
        <x:v>已确认</x:v>
      </x:c>
      <x:c r="I47" s="43" t="str">
        <x:v>EVT-0003</x:v>
      </x:c>
      <x:c r="J47" s="43" t="str">
        <x:v>异常事件唯一编号</x:v>
      </x:c>
    </x:row>
    <x:row r="48" ht="22" customHeight="1">
      <x:c r="A48" s="42" t="str">
        <x:v>事件</x:v>
      </x:c>
      <x:c r="B48" s="43" t="str">
        <x:v>event_type</x:v>
      </x:c>
      <x:c r="C48" s="43" t="str">
        <x:v>事件类型</x:v>
      </x:c>
      <x:c r="D48" s="43" t="str">
        <x:v>字符串</x:v>
      </x:c>
      <x:c r="E48" s="43" t="str">
        <x:v>聚集/跌倒/体征异常</x:v>
      </x:c>
      <x:c r="F48" s="43" t="str">
        <x:v>是</x:v>
      </x:c>
      <x:c r="G48" s="43" t="str">
        <x:v>平台</x:v>
      </x:c>
      <x:c r="H48" s="43" t="str">
        <x:v>已确认</x:v>
      </x:c>
      <x:c r="I48" s="43" t="str">
        <x:v>跌倒并体征异常</x:v>
      </x:c>
      <x:c r="J48" s="43" t="str">
        <x:v>异常事件类别</x:v>
      </x:c>
    </x:row>
    <x:row r="49" ht="22" customHeight="1">
      <x:c r="A49" s="42" t="str">
        <x:v>事件</x:v>
      </x:c>
      <x:c r="B49" s="43" t="str">
        <x:v>comprehensive_risk</x:v>
      </x:c>
      <x:c r="C49" s="43" t="str">
        <x:v>综合风险</x:v>
      </x:c>
      <x:c r="D49" s="43" t="str">
        <x:v>小数</x:v>
      </x:c>
      <x:c r="E49" s="43" t="str">
        <x:v>0～1</x:v>
      </x:c>
      <x:c r="F49" s="43" t="str">
        <x:v>是</x:v>
      </x:c>
      <x:c r="G49" s="43" t="str">
        <x:v>融合计算</x:v>
      </x:c>
      <x:c r="H49" s="43" t="str">
        <x:v>原型</x:v>
      </x:c>
      <x:c r="I49" s="43" t="str">
        <x:v>0.65</x:v>
      </x:c>
      <x:c r="J49" s="43" t="str">
        <x:v>按赛段权重融合</x:v>
      </x:c>
    </x:row>
    <x:row r="50" ht="22" customHeight="1">
      <x:c r="A50" s="42" t="str">
        <x:v>事件</x:v>
      </x:c>
      <x:c r="B50" s="43" t="str">
        <x:v>risk_level</x:v>
      </x:c>
      <x:c r="C50" s="43" t="str">
        <x:v>风险等级</x:v>
      </x:c>
      <x:c r="D50" s="43" t="str">
        <x:v>字符串</x:v>
      </x:c>
      <x:c r="E50" s="43" t="str">
        <x:v>正常/需要关注/较高/高</x:v>
      </x:c>
      <x:c r="F50" s="43" t="str">
        <x:v>是</x:v>
      </x:c>
      <x:c r="G50" s="43" t="str">
        <x:v>规则计算</x:v>
      </x:c>
      <x:c r="H50" s="43" t="str">
        <x:v>原型</x:v>
      </x:c>
      <x:c r="I50" s="43" t="str">
        <x:v>高风险</x:v>
      </x:c>
      <x:c r="J50" s="43" t="str">
        <x:v>包含紧急覆盖规则</x:v>
      </x:c>
    </x:row>
    <x:row r="51" ht="22" customHeight="1">
      <x:c r="A51" s="42" t="str">
        <x:v>事件</x:v>
      </x:c>
      <x:c r="B51" s="43" t="str">
        <x:v>event_status</x:v>
      </x:c>
      <x:c r="C51" s="43" t="str">
        <x:v>处置状态</x:v>
      </x:c>
      <x:c r="D51" s="43" t="str">
        <x:v>字符串</x:v>
      </x:c>
      <x:c r="E51" s="43" t="str">
        <x:v>发现/已响应/处理中/已完成</x:v>
      </x:c>
      <x:c r="F51" s="43" t="str">
        <x:v>是</x:v>
      </x:c>
      <x:c r="G51" s="43" t="str">
        <x:v>平台</x:v>
      </x:c>
      <x:c r="H51" s="43" t="str">
        <x:v>已确认</x:v>
      </x:c>
      <x:c r="I51" s="43" t="str">
        <x:v>处理中</x:v>
      </x:c>
      <x:c r="J51" s="43" t="str">
        <x:v>事件生命周期</x:v>
      </x:c>
    </x:row>
    <x:row r="52" ht="22" customHeight="1">
      <x:c r="A52" s="42" t="str">
        <x:v>事件</x:v>
      </x:c>
      <x:c r="B52" s="43" t="str">
        <x:v>assigned_uav</x:v>
      </x:c>
      <x:c r="C52" s="43" t="str">
        <x:v>执行无人机</x:v>
      </x:c>
      <x:c r="D52" s="43" t="str">
        <x:v>字符串</x:v>
      </x:c>
      <x:c r="E52" s="43" t="str">
        <x:v>UAV-01…</x:v>
      </x:c>
      <x:c r="F52" s="43" t="str">
        <x:v>否</x:v>
      </x:c>
      <x:c r="G52" s="43" t="str">
        <x:v>平台调度</x:v>
      </x:c>
      <x:c r="H52" s="43" t="str">
        <x:v>待确认</x:v>
      </x:c>
      <x:c r="I52" s="43" t="str">
        <x:v>UAV-02</x:v>
      </x:c>
      <x:c r="J52" s="43" t="str">
        <x:v>负责复核的无人机</x:v>
      </x:c>
    </x:row>
    <x:row r="53" ht="22" customHeight="1">
      <x:c r="A53" s="42" t="str">
        <x:v>事件</x:v>
      </x:c>
      <x:c r="B53" s="43" t="str">
        <x:v>assigned_unit</x:v>
      </x:c>
      <x:c r="C53" s="43" t="str">
        <x:v>责任单位</x:v>
      </x:c>
      <x:c r="D53" s="43" t="str">
        <x:v>字符串</x:v>
      </x:c>
      <x:c r="E53" s="43" t="str">
        <x:v>医疗组/志愿者/指挥中心</x:v>
      </x:c>
      <x:c r="F53" s="43" t="str">
        <x:v>否</x:v>
      </x:c>
      <x:c r="G53" s="43" t="str">
        <x:v>平台调度</x:v>
      </x:c>
      <x:c r="H53" s="43" t="str">
        <x:v>待确认</x:v>
      </x:c>
      <x:c r="I53" s="43" t="str">
        <x:v>医疗组</x:v>
      </x:c>
      <x:c r="J53" s="43" t="str">
        <x:v>负责处置的单位</x:v>
      </x:c>
    </x:row>
    <x:row r="54" ht="22" customHeight="1">
      <x:c r="A54" s="42" t="str">
        <x:v>事件</x:v>
      </x:c>
      <x:c r="B54" s="43" t="str">
        <x:v>response_time_sec</x:v>
      </x:c>
      <x:c r="C54" s="43" t="str">
        <x:v>响应时间</x:v>
      </x:c>
      <x:c r="D54" s="43" t="str">
        <x:v>小数</x:v>
      </x:c>
      <x:c r="E54" s="43" t="str">
        <x:v>s</x:v>
      </x:c>
      <x:c r="F54" s="43" t="str">
        <x:v>否</x:v>
      </x:c>
      <x:c r="G54" s="43" t="str">
        <x:v>时间计算</x:v>
      </x:c>
      <x:c r="H54" s="43" t="str">
        <x:v>已确认</x:v>
      </x:c>
      <x:c r="I54" s="43" t="str">
        <x:v>18</x:v>
      </x:c>
      <x:c r="J54" s="43" t="str">
        <x:v>响应时间减发现时间</x:v>
      </x:c>
    </x:row>
    <x:row r="55" ht="22" customHeight="1">
      <x:c r="A55" s="42" t="str">
        <x:v>事件</x:v>
      </x:c>
      <x:c r="B55" s="43" t="str">
        <x:v>handling_result</x:v>
      </x:c>
      <x:c r="C55" s="43" t="str">
        <x:v>处置结果</x:v>
      </x:c>
      <x:c r="D55" s="43" t="str">
        <x:v>字符串</x:v>
      </x:c>
      <x:c r="E55" s="43" t="str">
        <x:v>无</x:v>
      </x:c>
      <x:c r="F55" s="43" t="str">
        <x:v>否</x:v>
      </x:c>
      <x:c r="G55" s="43" t="str">
        <x:v>处置人员</x:v>
      </x:c>
      <x:c r="H55" s="43" t="str">
        <x:v>待确认</x:v>
      </x:c>
      <x:c r="I55" s="43" t="str">
        <x:v>已确认并完成处置</x:v>
      </x:c>
      <x:c r="J55" s="43" t="str">
        <x:v>记录最终结果</x:v>
      </x:c>
    </x:row>
  </x:sheetData>
  <x:dataValidations count="1">
    <x:dataValidation type="list" sqref="H2:H55">
      <x:formula1>"已确认,待确认,预留,原型,待补充,停止使用"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a15fe63e59460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0.630000114440918" hidden="0" customWidth="1"/>
    <x:col min="3" max="3" width="8.5" hidden="0" customWidth="1"/>
    <x:col min="4" max="4" width="8.75" hidden="0" customWidth="1"/>
    <x:col min="5" max="5" width="8.630000114440918" hidden="0" customWidth="1"/>
    <x:col min="6" max="6" width="7" hidden="0" customWidth="1"/>
    <x:col min="7" max="7" width="18" hidden="0" customWidth="1"/>
    <x:col min="8" max="8" width="10.130000114440918" hidden="0" customWidth="1"/>
    <x:col min="9" max="9" width="10.880000114440918" hidden="0" customWidth="1"/>
    <x:col min="10" max="10" width="9.5" hidden="0" customWidth="1"/>
    <x:col min="11" max="11" width="13.75" hidden="0" customWidth="1"/>
    <x:col min="12" max="12" width="8" hidden="0" customWidth="1"/>
    <x:col min="13" max="13" width="15.75" hidden="0" customWidth="1"/>
    <x:col min="14" max="14" width="16.25" hidden="0" customWidth="1"/>
    <x:col min="15" max="15" width="12.880000114440918" hidden="0" customWidth="1"/>
    <x:col min="16" max="16" width="8.380000114440918" hidden="0" customWidth="1"/>
    <x:col min="17" max="17" width="10.380000114440918" hidden="0" customWidth="1"/>
    <x:col min="18" max="18" width="9.630000114440918" hidden="0" customWidth="1"/>
    <x:col min="19" max="19" width="10.880000114440918" hidden="0" customWidth="1"/>
    <x:col min="20" max="20" width="8.25" hidden="0" customWidth="1"/>
    <x:col min="21" max="21" width="12" hidden="0" customWidth="1"/>
  </x:cols>
  <x:sheetData>
    <x:row r="1" ht="22" customHeight="1">
      <x:c r="A1" s="32" t="str">
        <x:v>timestamp</x:v>
      </x:c>
      <x:c r="B1" s="33" t="str">
        <x:v>source_type</x:v>
      </x:c>
      <x:c r="C1" s="33" t="str">
        <x:v>source_id</x:v>
      </x:c>
      <x:c r="D1" s="33" t="str">
        <x:v>athlete_id</x:v>
      </x:c>
      <x:c r="E1" s="33" t="str">
        <x:v>longitude</x:v>
      </x:c>
      <x:c r="F1" s="33" t="str">
        <x:v>latitude</x:v>
      </x:c>
      <x:c r="G1" s="33" t="str">
        <x:v>coordinate_system</x:v>
      </x:c>
      <x:c r="H1" s="33" t="str">
        <x:v>segment_id</x:v>
      </x:c>
      <x:c r="I1" s="33" t="str">
        <x:v>distance_km</x:v>
      </x:c>
      <x:c r="J1" s="33" t="str">
        <x:v>speed_m_s</x:v>
      </x:c>
      <x:c r="K1" s="33" t="str">
        <x:v>heart_rate_bpm</x:v>
      </x:c>
      <x:c r="L1" s="33" t="str">
        <x:v>spo2_pct</x:v>
      </x:c>
      <x:c r="M1" s="33" t="str">
        <x:v>acceleration_m_s2</x:v>
      </x:c>
      <x:c r="N1" s="33" t="str">
        <x:v>device_battery_pct</x:v>
      </x:c>
      <x:c r="O1" s="33" t="str">
        <x:v>heart_rate_risk</x:v>
      </x:c>
      <x:c r="P1" s="33" t="str">
        <x:v>spo2_risk</x:v>
      </x:c>
      <x:c r="Q1" s="33" t="str">
        <x:v>motion_risk</x:v>
      </x:c>
      <x:c r="R1" s="33" t="str">
        <x:v>health_risk</x:v>
      </x:c>
      <x:c r="S1" s="33" t="str">
        <x:v>data_quality</x:v>
      </x:c>
      <x:c r="T1" s="33" t="str">
        <x:v>risk_level</x:v>
      </x:c>
      <x:c r="U1" s="33" t="str">
        <x:v>data_status</x:v>
      </x:c>
    </x:row>
    <x:row r="2" ht="22" customHeight="1">
      <x:c r="A2" s="44" t="n">
        <x:v>46258.395949074074</x:v>
      </x:c>
      <x:c r="B2" s="45" t="str">
        <x:v>WRISTBAND</x:v>
      </x:c>
      <x:c r="C2" s="45" t="str">
        <x:v>WB-001</x:v>
      </x:c>
      <x:c r="D2" s="45" t="str">
        <x:v>R001</x:v>
      </x:c>
      <x:c r="E2" s="46" t="n">
        <x:v>118.8165</x:v>
      </x:c>
      <x:c r="F2" s="46" t="n">
        <x:v>32.0832</x:v>
      </x:c>
      <x:c r="G2" s="45" t="str">
        <x:v>EPSG:4326</x:v>
      </x:c>
      <x:c r="H2" s="45" t="str">
        <x:v>S1</x:v>
      </x:c>
      <x:c r="I2" s="47" t="n">
        <x:v>1.2</x:v>
      </x:c>
      <x:c r="J2" s="47" t="n">
        <x:v>3.1</x:v>
      </x:c>
      <x:c r="K2" s="45" t="n">
        <x:v>148</x:v>
      </x:c>
      <x:c r="L2" s="45" t="n">
        <x:v>97</x:v>
      </x:c>
      <x:c r="M2" s="45" t="n">
        <x:v>1.2</x:v>
      </x:c>
      <x:c r="N2" s="45" t="n">
        <x:v>88</x:v>
      </x:c>
      <x:c r="O2" s="48" t="n">
        <x:f>IF(K2&lt;='风险规则'!$E$2,'风险规则'!$F$2,IF(K2&lt;='风险规则'!$E$3,'风险规则'!$F$3,IF(K2&lt;='风险规则'!$E$4,'风险规则'!$F$4,'风险规则'!$F$5)))</x:f>
        <x:v>0.1</x:v>
      </x:c>
      <x:c r="P2" s="48" t="n">
        <x:f>IF(L2&gt;='风险规则'!$H$2,'风险规则'!$I$2,IF(L2&gt;='风险规则'!$H$3,'风险规则'!$I$3,IF(L2&gt;='风险规则'!$H$4,'风险规则'!$I$4,'风险规则'!$I$5)))</x:f>
        <x:v>0.1</x:v>
      </x:c>
      <x:c r="Q2" s="48" t="n">
        <x:f>IF(AND(J2&lt;'风险规则'!$K$2,M2&lt;0.5),'风险规则'!$L$2,IF(J2&lt;'风险规则'!$K$3,'风险规则'!$L$3,'风险规则'!$L$4))</x:f>
        <x:v>0.1</x:v>
      </x:c>
      <x:c r="R2" s="48" t="n">
        <x:f>O2*'风险规则'!$B$2+P2*'风险规则'!$B$3+Q2*'风险规则'!$B$4</x:f>
        <x:v>0.1</x:v>
      </x:c>
      <x:c r="S2" s="49" t="n">
        <x:v>0.95</x:v>
      </x:c>
      <x:c r="T2" s="50" t="str">
        <x:f>IF(R2&lt;='风险规则'!$B$14,"正常",IF(R2&lt;='风险规则'!$B$15,"需要关注",IF(R2&lt;='风险规则'!$B$16,"较高风险","高风险")))</x:f>
        <x:v>正常</x:v>
      </x:c>
      <x:c r="U2" s="45" t="str">
        <x:v>模拟</x:v>
      </x:c>
    </x:row>
    <x:row r="3" ht="22" customHeight="1">
      <x:c r="A3" s="44" t="n">
        <x:v>46258.39596064815</x:v>
      </x:c>
      <x:c r="B3" s="45" t="str">
        <x:v>WRISTBAND</x:v>
      </x:c>
      <x:c r="C3" s="45" t="str">
        <x:v>WB-036</x:v>
      </x:c>
      <x:c r="D3" s="45" t="str">
        <x:v>R036</x:v>
      </x:c>
      <x:c r="E3" s="46" t="n">
        <x:v>118.825</x:v>
      </x:c>
      <x:c r="F3" s="46" t="n">
        <x:v>32.091</x:v>
      </x:c>
      <x:c r="G3" s="45" t="str">
        <x:v>EPSG:4326</x:v>
      </x:c>
      <x:c r="H3" s="45" t="str">
        <x:v>S3</x:v>
      </x:c>
      <x:c r="I3" s="47" t="n">
        <x:v>22.4</x:v>
      </x:c>
      <x:c r="J3" s="47" t="n">
        <x:v>2.7</x:v>
      </x:c>
      <x:c r="K3" s="45" t="n">
        <x:v>172</x:v>
      </x:c>
      <x:c r="L3" s="45" t="n">
        <x:v>94</x:v>
      </x:c>
      <x:c r="M3" s="45" t="n">
        <x:v>0.9</x:v>
      </x:c>
      <x:c r="N3" s="45" t="n">
        <x:v>75</x:v>
      </x:c>
      <x:c r="O3" s="48" t="n">
        <x:f>IF(K3&lt;='风险规则'!$E$2,'风险规则'!$F$2,IF(K3&lt;='风险规则'!$E$3,'风险规则'!$F$3,IF(K3&lt;='风险规则'!$E$4,'风险规则'!$F$4,'风险规则'!$F$5)))</x:f>
        <x:v>0.4</x:v>
      </x:c>
      <x:c r="P3" s="48" t="n">
        <x:f>IF(L3&gt;='风险规则'!$H$2,'风险规则'!$I$2,IF(L3&gt;='风险规则'!$H$3,'风险规则'!$I$3,IF(L3&gt;='风险规则'!$H$4,'风险规则'!$I$4,'风险规则'!$I$5)))</x:f>
        <x:v>0.4</x:v>
      </x:c>
      <x:c r="Q3" s="48" t="n">
        <x:f>IF(AND(J3&lt;'风险规则'!$K$2,M3&lt;0.5),'风险规则'!$L$2,IF(J3&lt;'风险规则'!$K$3,'风险规则'!$L$3,'风险规则'!$L$4))</x:f>
        <x:v>0.1</x:v>
      </x:c>
      <x:c r="R3" s="48" t="n">
        <x:f>O3*'风险规则'!$B$2+P3*'风险规则'!$B$3+Q3*'风险规则'!$B$4</x:f>
        <x:v>0.32500000000000007</x:v>
      </x:c>
      <x:c r="S3" s="49" t="n">
        <x:v>0.91</x:v>
      </x:c>
      <x:c r="T3" s="50" t="str">
        <x:f>IF(R3&lt;='风险规则'!$B$14,"正常",IF(R3&lt;='风险规则'!$B$15,"需要关注",IF(R3&lt;='风险规则'!$B$16,"较高风险","高风险")))</x:f>
        <x:v>正常</x:v>
      </x:c>
      <x:c r="U3" s="45" t="str">
        <x:v>模拟</x:v>
      </x:c>
    </x:row>
    <x:row r="4" ht="22" customHeight="1">
      <x:c r="A4" s="44" t="n">
        <x:v>46258.39597222222</x:v>
      </x:c>
      <x:c r="B4" s="45" t="str">
        <x:v>WRISTBAND</x:v>
      </x:c>
      <x:c r="C4" s="45" t="str">
        <x:v>WB-087</x:v>
      </x:c>
      <x:c r="D4" s="45" t="str">
        <x:v>R087</x:v>
      </x:c>
      <x:c r="E4" s="46" t="n">
        <x:v>118.8312</x:v>
      </x:c>
      <x:c r="F4" s="46" t="n">
        <x:v>32.0965</x:v>
      </x:c>
      <x:c r="G4" s="45" t="str">
        <x:v>EPSG:4326</x:v>
      </x:c>
      <x:c r="H4" s="45" t="str">
        <x:v>S4</x:v>
      </x:c>
      <x:c r="I4" s="47" t="n">
        <x:v>32.8</x:v>
      </x:c>
      <x:c r="J4" s="47" t="n">
        <x:v>0.8</x:v>
      </x:c>
      <x:c r="K4" s="45" t="n">
        <x:v>188</x:v>
      </x:c>
      <x:c r="L4" s="45" t="n">
        <x:v>90</x:v>
      </x:c>
      <x:c r="M4" s="45" t="n">
        <x:v>0.2</x:v>
      </x:c>
      <x:c r="N4" s="45" t="n">
        <x:v>62</x:v>
      </x:c>
      <x:c r="O4" s="48" t="n">
        <x:f>IF(K4&lt;='风险规则'!$E$2,'风险规则'!$F$2,IF(K4&lt;='风险规则'!$E$3,'风险规则'!$F$3,IF(K4&lt;='风险规则'!$E$4,'风险规则'!$F$4,'风险规则'!$F$5)))</x:f>
        <x:v>0.7</x:v>
      </x:c>
      <x:c r="P4" s="48" t="n">
        <x:f>IF(L4&gt;='风险规则'!$H$2,'风险规则'!$I$2,IF(L4&gt;='风险规则'!$H$3,'风险规则'!$I$3,IF(L4&gt;='风险规则'!$H$4,'风险规则'!$I$4,'风险规则'!$I$5)))</x:f>
        <x:v>0.7</x:v>
      </x:c>
      <x:c r="Q4" s="48" t="n">
        <x:f>IF(AND(J4&lt;'风险规则'!$K$2,M4&lt;0.5),'风险规则'!$L$2,IF(J4&lt;'风险规则'!$K$3,'风险规则'!$L$3,'风险规则'!$L$4))</x:f>
        <x:v>0.8</x:v>
      </x:c>
      <x:c r="R4" s="48" t="n">
        <x:f>O4*'风险规则'!$B$2+P4*'风险规则'!$B$3+Q4*'风险规则'!$B$4</x:f>
        <x:v>0.7249999999999999</x:v>
      </x:c>
      <x:c r="S4" s="49" t="n">
        <x:v>0.93</x:v>
      </x:c>
      <x:c r="T4" s="50" t="str">
        <x:f>IF(R4&lt;='风险规则'!$B$14,"正常",IF(R4&lt;='风险规则'!$B$15,"需要关注",IF(R4&lt;='风险规则'!$B$16,"较高风险","高风险")))</x:f>
        <x:v>较高风险</x:v>
      </x:c>
      <x:c r="U4" s="45" t="str">
        <x:v>模拟</x:v>
      </x:c>
    </x:row>
  </x:sheetData>
  <x:conditionalFormatting sqref="R2:R100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dataValidations count="1">
    <x:dataValidation type="list" sqref="H2:H100">
      <x:formula1>"S1,S2,S3,S4,S5"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3f124408394c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0.630000114440918" hidden="0" customWidth="1"/>
    <x:col min="3" max="3" width="8.5" hidden="0" customWidth="1"/>
    <x:col min="4" max="4" width="6.630000114440918" hidden="0" customWidth="1"/>
    <x:col min="5" max="5" width="8.630000114440918" hidden="0" customWidth="1"/>
    <x:col min="6" max="6" width="7" hidden="0" customWidth="1"/>
    <x:col min="7" max="7" width="18" hidden="0" customWidth="1"/>
    <x:col min="8" max="8" width="10.130000114440918" hidden="0" customWidth="1"/>
    <x:col min="9" max="9" width="9.380000114440918" hidden="0" customWidth="1"/>
    <x:col min="10" max="10" width="10.130000114440918" hidden="0" customWidth="1"/>
    <x:col min="11" max="11" width="14.380000114440918" hidden="0" customWidth="1"/>
    <x:col min="12" max="12" width="22.5" hidden="0" customWidth="1"/>
    <x:col min="13" max="13" width="16.8799991607666" hidden="0" customWidth="1"/>
    <x:col min="14" max="14" width="13.130000114440918" hidden="0" customWidth="1"/>
    <x:col min="15" max="15" width="9.5" hidden="0" customWidth="1"/>
    <x:col min="16" max="16" width="9.130000114440918" hidden="0" customWidth="1"/>
    <x:col min="17" max="17" width="22" hidden="0" customWidth="1"/>
    <x:col min="18" max="18" width="10.880000114440918" hidden="0" customWidth="1"/>
    <x:col min="19" max="19" width="8.25" hidden="0" customWidth="1"/>
    <x:col min="20" max="20" width="10.130000114440918" hidden="0" customWidth="1"/>
  </x:cols>
  <x:sheetData>
    <x:row r="1" ht="22" customHeight="1">
      <x:c r="A1" s="32" t="str">
        <x:v>timestamp</x:v>
      </x:c>
      <x:c r="B1" s="33" t="str">
        <x:v>source_type</x:v>
      </x:c>
      <x:c r="C1" s="33" t="str">
        <x:v>source_id</x:v>
      </x:c>
      <x:c r="D1" s="33" t="str">
        <x:v>uav_id</x:v>
      </x:c>
      <x:c r="E1" s="33" t="str">
        <x:v>longitude</x:v>
      </x:c>
      <x:c r="F1" s="33" t="str">
        <x:v>latitude</x:v>
      </x:c>
      <x:c r="G1" s="33" t="str">
        <x:v>coordinate_system</x:v>
      </x:c>
      <x:c r="H1" s="33" t="str">
        <x:v>segment_id</x:v>
      </x:c>
      <x:c r="I1" s="33" t="str">
        <x:v>altitude_m</x:v>
      </x:c>
      <x:c r="J1" s="33" t="str">
        <x:v>battery_pct</x:v>
      </x:c>
      <x:c r="K1" s="33" t="str">
        <x:v>detected_people</x:v>
      </x:c>
      <x:c r="L1" s="33" t="str">
        <x:v>crowd_density_person_m2</x:v>
      </x:c>
      <x:c r="M1" s="33" t="str">
        <x:v>average_speed_m_s</x:v>
      </x:c>
      <x:c r="N1" s="33" t="str">
        <x:v>fall_confidence</x:v>
      </x:c>
      <x:c r="O1" s="33" t="str">
        <x:v>crowd_risk</x:v>
      </x:c>
      <x:c r="P1" s="33" t="str">
        <x:v>visual_risk</x:v>
      </x:c>
      <x:c r="Q1" s="33" t="str">
        <x:v>mission_type</x:v>
      </x:c>
      <x:c r="R1" s="33" t="str">
        <x:v>data_quality</x:v>
      </x:c>
      <x:c r="S1" s="33" t="str">
        <x:v>risk_level</x:v>
      </x:c>
      <x:c r="T1" s="33" t="str">
        <x:v>data_status</x:v>
      </x:c>
    </x:row>
    <x:row r="2" ht="22" customHeight="1">
      <x:c r="A2" s="44" t="n">
        <x:v>46258.395949074074</x:v>
      </x:c>
      <x:c r="B2" s="45" t="str">
        <x:v>UAV</x:v>
      </x:c>
      <x:c r="C2" s="45" t="str">
        <x:v>CAM-01</x:v>
      </x:c>
      <x:c r="D2" s="45" t="str">
        <x:v>UAV-01</x:v>
      </x:c>
      <x:c r="E2" s="46" t="n">
        <x:v>118.8168</x:v>
      </x:c>
      <x:c r="F2" s="46" t="n">
        <x:v>32.0835</x:v>
      </x:c>
      <x:c r="G2" s="45" t="str">
        <x:v>EPSG:4326</x:v>
      </x:c>
      <x:c r="H2" s="45" t="str">
        <x:v>S1</x:v>
      </x:c>
      <x:c r="I2" s="45" t="n">
        <x:v>85</x:v>
      </x:c>
      <x:c r="J2" s="45" t="n">
        <x:v>96</x:v>
      </x:c>
      <x:c r="K2" s="45" t="n">
        <x:v>82</x:v>
      </x:c>
      <x:c r="L2" s="49" t="n">
        <x:v>2.8</x:v>
      </x:c>
      <x:c r="M2" s="49" t="n">
        <x:v>2.4</x:v>
      </x:c>
      <x:c r="N2" s="49" t="n">
        <x:v>0.08</x:v>
      </x:c>
      <x:c r="O2" s="48" t="n">
        <x:f>MIN(1,L2/'风险规则'!$B$5)</x:f>
        <x:v>0.7999999999999999</x:v>
      </x:c>
      <x:c r="P2" s="48" t="n">
        <x:f>MAX(N2,O2)</x:f>
        <x:v>0.7999999999999999</x:v>
      </x:c>
      <x:c r="Q2" s="45" t="str">
        <x:v>人群密度巡检</x:v>
      </x:c>
      <x:c r="R2" s="45" t="n">
        <x:v>0.94</x:v>
      </x:c>
      <x:c r="S2" s="50" t="str">
        <x:f>IF(P2&lt;='风险规则'!$B$14,"正常",IF(P2&lt;='风险规则'!$B$15,"需要关注",IF(P2&lt;='风险规则'!$B$16,"较高风险","高风险")))</x:f>
        <x:v>高风险</x:v>
      </x:c>
      <x:c r="T2" s="45" t="str">
        <x:v>模拟</x:v>
      </x:c>
    </x:row>
    <x:row r="3" ht="22" customHeight="1">
      <x:c r="A3" s="44" t="n">
        <x:v>46258.39596064815</x:v>
      </x:c>
      <x:c r="B3" s="45" t="str">
        <x:v>UAV</x:v>
      </x:c>
      <x:c r="C3" s="45" t="str">
        <x:v>CAM-02</x:v>
      </x:c>
      <x:c r="D3" s="45" t="str">
        <x:v>UAV-02</x:v>
      </x:c>
      <x:c r="E3" s="46" t="n">
        <x:v>118.8253</x:v>
      </x:c>
      <x:c r="F3" s="46" t="n">
        <x:v>32.0912</x:v>
      </x:c>
      <x:c r="G3" s="45" t="str">
        <x:v>EPSG:4326</x:v>
      </x:c>
      <x:c r="H3" s="45" t="str">
        <x:v>S3</x:v>
      </x:c>
      <x:c r="I3" s="45" t="n">
        <x:v>90</x:v>
      </x:c>
      <x:c r="J3" s="45" t="n">
        <x:v>91</x:v>
      </x:c>
      <x:c r="K3" s="45" t="n">
        <x:v>35</x:v>
      </x:c>
      <x:c r="L3" s="49" t="n">
        <x:v>1.1</x:v>
      </x:c>
      <x:c r="M3" s="49" t="n">
        <x:v>2.8</x:v>
      </x:c>
      <x:c r="N3" s="49" t="n">
        <x:v>0.15</x:v>
      </x:c>
      <x:c r="O3" s="48" t="n">
        <x:f>MIN(1,L3/'风险规则'!$B$5)</x:f>
        <x:v>0.31428571428571433</x:v>
      </x:c>
      <x:c r="P3" s="48" t="n">
        <x:f>MAX(N3,O3)</x:f>
        <x:v>0.31428571428571433</x:v>
      </x:c>
      <x:c r="Q3" s="45" t="str">
        <x:v>常规巡航</x:v>
      </x:c>
      <x:c r="R3" s="45" t="n">
        <x:v>0.93</x:v>
      </x:c>
      <x:c r="S3" s="50" t="str">
        <x:f>IF(P3&lt;='风险规则'!$B$14,"正常",IF(P3&lt;='风险规则'!$B$15,"需要关注",IF(P3&lt;='风险规则'!$B$16,"较高风险","高风险")))</x:f>
        <x:v>正常</x:v>
      </x:c>
      <x:c r="T3" s="45" t="str">
        <x:v>模拟</x:v>
      </x:c>
    </x:row>
    <x:row r="4" ht="22" customHeight="1">
      <x:c r="A4" s="44" t="n">
        <x:v>46258.39597222222</x:v>
      </x:c>
      <x:c r="B4" s="45" t="str">
        <x:v>UAV</x:v>
      </x:c>
      <x:c r="C4" s="45" t="str">
        <x:v>CAM-02</x:v>
      </x:c>
      <x:c r="D4" s="45" t="str">
        <x:v>UAV-02</x:v>
      </x:c>
      <x:c r="E4" s="46" t="n">
        <x:v>118.831</x:v>
      </x:c>
      <x:c r="F4" s="46" t="n">
        <x:v>32.0967</x:v>
      </x:c>
      <x:c r="G4" s="45" t="str">
        <x:v>EPSG:4326</x:v>
      </x:c>
      <x:c r="H4" s="45" t="str">
        <x:v>S4</x:v>
      </x:c>
      <x:c r="I4" s="45" t="n">
        <x:v>78</x:v>
      </x:c>
      <x:c r="J4" s="45" t="n">
        <x:v>83</x:v>
      </x:c>
      <x:c r="K4" s="45" t="n">
        <x:v>12</x:v>
      </x:c>
      <x:c r="L4" s="49" t="n">
        <x:v>0.4</x:v>
      </x:c>
      <x:c r="M4" s="49" t="n">
        <x:v>0.6</x:v>
      </x:c>
      <x:c r="N4" s="49" t="n">
        <x:v>0.92</x:v>
      </x:c>
      <x:c r="O4" s="48" t="n">
        <x:f>MIN(1,L4/'风险规则'!$B$5)</x:f>
        <x:v>0.1142857142857143</x:v>
      </x:c>
      <x:c r="P4" s="48" t="n">
        <x:f>MAX(N4,O4)</x:f>
        <x:v>0.92</x:v>
      </x:c>
      <x:c r="Q4" s="45" t="str">
        <x:v>跌倒事件复核</x:v>
      </x:c>
      <x:c r="R4" s="45" t="n">
        <x:v>0.96</x:v>
      </x:c>
      <x:c r="S4" s="50" t="str">
        <x:f>IF(P4&lt;='风险规则'!$B$14,"正常",IF(P4&lt;='风险规则'!$B$15,"需要关注",IF(P4&lt;='风险规则'!$B$16,"较高风险","高风险")))</x:f>
        <x:v>高风险</x:v>
      </x:c>
      <x:c r="T4" s="45" t="str">
        <x:v>模拟</x:v>
      </x:c>
    </x:row>
  </x:sheetData>
  <x:conditionalFormatting sqref="P2:P100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dataValidations count="1">
    <x:dataValidation type="list" sqref="H2:H100">
      <x:formula1>"S1,S2,S3,S4,S5"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53ddd542c54f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30000114440918" hidden="0" customWidth="1"/>
    <x:col min="2" max="2" width="20" hidden="0" customWidth="1"/>
    <x:col min="3" max="3" width="7.880000114440918" hidden="0" customWidth="1"/>
    <x:col min="4" max="4" width="7.130000114440918" hidden="0" customWidth="1"/>
    <x:col min="5" max="5" width="22" hidden="0" customWidth="1"/>
    <x:col min="6" max="6" width="15.880000114440918" hidden="0" customWidth="1"/>
    <x:col min="7" max="7" width="12.380000114440918" hidden="0" customWidth="1"/>
    <x:col min="8" max="8" width="14.630000114440918" hidden="0" customWidth="1"/>
    <x:col min="9" max="9" width="16.1299991607666" hidden="0" customWidth="1"/>
    <x:col min="10" max="10" width="9.75" hidden="0" customWidth="1"/>
    <x:col min="11" max="11" width="28" hidden="0" customWidth="1"/>
    <x:col min="12" max="12" width="10.130000114440918" hidden="0" customWidth="1"/>
  </x:cols>
  <x:sheetData>
    <x:row r="1" ht="22" customHeight="1">
      <x:c r="A1" s="32" t="str">
        <x:v>segment_id</x:v>
      </x:c>
      <x:c r="B1" s="33" t="str">
        <x:v>segment_name</x:v>
      </x:c>
      <x:c r="C1" s="33" t="str">
        <x:v>start_km</x:v>
      </x:c>
      <x:c r="D1" s="33" t="str">
        <x:v>end_km</x:v>
      </x:c>
      <x:c r="E1" s="33" t="str">
        <x:v>geometry</x:v>
      </x:c>
      <x:c r="F1" s="33" t="str">
        <x:v>average_slope_pct</x:v>
      </x:c>
      <x:c r="G1" s="33" t="str">
        <x:v>road_width_m</x:v>
      </x:c>
      <x:c r="H1" s="33" t="str">
        <x:v>medical_point_id</x:v>
      </x:c>
      <x:c r="I1" s="33" t="str">
        <x:v>rescue_distance_m</x:v>
      </x:c>
      <x:c r="J1" s="33" t="str">
        <x:v>rescue_risk</x:v>
      </x:c>
      <x:c r="K1" s="33" t="str">
        <x:v>base_monitoring_focus</x:v>
      </x:c>
      <x:c r="L1" s="33" t="str">
        <x:v>data_status</x:v>
      </x:c>
    </x:row>
    <x:row r="2" ht="22" customHeight="1">
      <x:c r="A2" s="51" t="str">
        <x:v>S1</x:v>
      </x:c>
      <x:c r="B2" s="45" t="str">
        <x:v>起跑疏散区</x:v>
      </x:c>
      <x:c r="C2" s="49" t="n">
        <x:v>0</x:v>
      </x:c>
      <x:c r="D2" s="49" t="n">
        <x:v>5</x:v>
      </x:c>
      <x:c r="E2" s="49" t="str">
        <x:v>GeoJSON待补充</x:v>
      </x:c>
      <x:c r="F2" s="49" t="n">
        <x:v>0.8</x:v>
      </x:c>
      <x:c r="G2" s="49" t="n">
        <x:v>10</x:v>
      </x:c>
      <x:c r="H2" s="49" t="str">
        <x:v>M01</x:v>
      </x:c>
      <x:c r="I2" s="49" t="n">
        <x:v>300</x:v>
      </x:c>
      <x:c r="J2" s="48" t="n">
        <x:f>MIN(1,I2/'风险规则'!$B$6)</x:f>
        <x:v>0.2</x:v>
      </x:c>
      <x:c r="K2" s="45" t="str">
        <x:v>人员聚集与通行秩序</x:v>
      </x:c>
      <x:c r="L2" s="45" t="str">
        <x:v>模拟</x:v>
      </x:c>
    </x:row>
    <x:row r="3" ht="22" customHeight="1">
      <x:c r="A3" s="51" t="str">
        <x:v>S2</x:v>
      </x:c>
      <x:c r="B3" s="45" t="str">
        <x:v>前程密集区</x:v>
      </x:c>
      <x:c r="C3" s="49" t="n">
        <x:v>5</x:v>
      </x:c>
      <x:c r="D3" s="49" t="n">
        <x:v>15</x:v>
      </x:c>
      <x:c r="E3" s="49" t="str">
        <x:v>GeoJSON待补充</x:v>
      </x:c>
      <x:c r="F3" s="49" t="n">
        <x:v>1.2</x:v>
      </x:c>
      <x:c r="G3" s="49" t="n">
        <x:v>9</x:v>
      </x:c>
      <x:c r="H3" s="49" t="str">
        <x:v>M02</x:v>
      </x:c>
      <x:c r="I3" s="49" t="n">
        <x:v>550</x:v>
      </x:c>
      <x:c r="J3" s="48" t="n">
        <x:f>MIN(1,I3/'风险规则'!$B$6)</x:f>
        <x:v>0.36666666666666664</x:v>
      </x:c>
      <x:c r="K3" s="45" t="str">
        <x:v>聚集安全优先</x:v>
      </x:c>
      <x:c r="L3" s="45" t="str">
        <x:v>模拟</x:v>
      </x:c>
    </x:row>
    <x:row r="4" ht="22" customHeight="1">
      <x:c r="A4" s="51" t="str">
        <x:v>S3</x:v>
      </x:c>
      <x:c r="B4" s="45" t="str">
        <x:v>中程平衡区</x:v>
      </x:c>
      <x:c r="C4" s="49" t="n">
        <x:v>15</x:v>
      </x:c>
      <x:c r="D4" s="49" t="n">
        <x:v>28</x:v>
      </x:c>
      <x:c r="E4" s="49" t="str">
        <x:v>GeoJSON待补充</x:v>
      </x:c>
      <x:c r="F4" s="49" t="n">
        <x:v>2.1</x:v>
      </x:c>
      <x:c r="G4" s="49" t="n">
        <x:v>8</x:v>
      </x:c>
      <x:c r="H4" s="49" t="str">
        <x:v>M03</x:v>
      </x:c>
      <x:c r="I4" s="49" t="n">
        <x:v>800</x:v>
      </x:c>
      <x:c r="J4" s="48" t="n">
        <x:f>MIN(1,I4/'风险规则'!$B$6)</x:f>
        <x:v>0.5333333333333333</x:v>
      </x:c>
      <x:c r="K4" s="45" t="str">
        <x:v>聚集与健康并重</x:v>
      </x:c>
      <x:c r="L4" s="45" t="str">
        <x:v>模拟</x:v>
      </x:c>
    </x:row>
    <x:row r="5" ht="22" customHeight="1">
      <x:c r="A5" s="51" t="str">
        <x:v>S4</x:v>
      </x:c>
      <x:c r="B5" s="45" t="str">
        <x:v>后程体能风险区</x:v>
      </x:c>
      <x:c r="C5" s="49" t="n">
        <x:v>28</x:v>
      </x:c>
      <x:c r="D5" s="49" t="n">
        <x:v>37</x:v>
      </x:c>
      <x:c r="E5" s="49" t="str">
        <x:v>GeoJSON待补充</x:v>
      </x:c>
      <x:c r="F5" s="49" t="n">
        <x:v>3.2</x:v>
      </x:c>
      <x:c r="G5" s="49" t="n">
        <x:v>7</x:v>
      </x:c>
      <x:c r="H5" s="49" t="str">
        <x:v>M04</x:v>
      </x:c>
      <x:c r="I5" s="49" t="n">
        <x:v>650</x:v>
      </x:c>
      <x:c r="J5" s="48" t="n">
        <x:f>MIN(1,I5/'风险规则'!$B$6)</x:f>
        <x:v>0.43333333333333335</x:v>
      </x:c>
      <x:c r="K5" s="45" t="str">
        <x:v>体征异常与跌倒</x:v>
      </x:c>
      <x:c r="L5" s="45" t="str">
        <x:v>模拟</x:v>
      </x:c>
    </x:row>
    <x:row r="6" ht="22" customHeight="1">
      <x:c r="A6" s="51" t="str">
        <x:v>S5</x:v>
      </x:c>
      <x:c r="B6" s="45" t="str">
        <x:v>终点综合保障区</x:v>
      </x:c>
      <x:c r="C6" s="49" t="n">
        <x:v>37</x:v>
      </x:c>
      <x:c r="D6" s="49" t="n">
        <x:v>42.195</x:v>
      </x:c>
      <x:c r="E6" s="49" t="str">
        <x:v>GeoJSON待补充</x:v>
      </x:c>
      <x:c r="F6" s="49" t="n">
        <x:v>0.6</x:v>
      </x:c>
      <x:c r="G6" s="49" t="n">
        <x:v>11</x:v>
      </x:c>
      <x:c r="H6" s="49" t="str">
        <x:v>M05</x:v>
      </x:c>
      <x:c r="I6" s="49" t="n">
        <x:v>250</x:v>
      </x:c>
      <x:c r="J6" s="48" t="n">
        <x:f>MIN(1,I6/'风险规则'!$B$6)</x:f>
        <x:v>0.16666666666666666</x:v>
      </x:c>
      <x:c r="K6" s="45" t="str">
        <x:v>终点聚集与疲劳</x:v>
      </x:c>
      <x:c r="L6" s="45" t="str">
        <x:v>模拟</x:v>
      </x:c>
    </x:row>
  </x:sheetData>
  <x:conditionalFormatting sqref="J2:J100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dataValidations count="1">
    <x:dataValidation type="list" sqref="A2:A100">
      <x:formula1>"S1,S2,S3,S4,S5"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b5faf993074c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0.630000114440918" hidden="0" customWidth="1"/>
    <x:col min="3" max="3" width="8.5" hidden="0" customWidth="1"/>
    <x:col min="4" max="4" width="10.130000114440918" hidden="0" customWidth="1"/>
    <x:col min="5" max="5" width="12.630000114440918" hidden="0" customWidth="1"/>
    <x:col min="6" max="6" width="11.5" hidden="0" customWidth="1"/>
    <x:col min="7" max="7" width="14.380000114440918" hidden="0" customWidth="1"/>
    <x:col min="8" max="8" width="10.5" hidden="0" customWidth="1"/>
    <x:col min="9" max="9" width="11.25" hidden="0" customWidth="1"/>
    <x:col min="10" max="10" width="15.130000114440918" hidden="0" customWidth="1"/>
    <x:col min="11" max="11" width="10.880000114440918" hidden="0" customWidth="1"/>
    <x:col min="12" max="12" width="10.130000114440918" hidden="0" customWidth="1"/>
  </x:cols>
  <x:sheetData>
    <x:row r="1" ht="22" customHeight="1">
      <x:c r="A1" s="32" t="str">
        <x:v>timestamp</x:v>
      </x:c>
      <x:c r="B1" s="33" t="str">
        <x:v>source_type</x:v>
      </x:c>
      <x:c r="C1" s="33" t="str">
        <x:v>source_id</x:v>
      </x:c>
      <x:c r="D1" s="33" t="str">
        <x:v>segment_id</x:v>
      </x:c>
      <x:c r="E1" s="33" t="str">
        <x:v>temperature_c</x:v>
      </x:c>
      <x:c r="F1" s="33" t="str">
        <x:v>humidity_pct</x:v>
      </x:c>
      <x:c r="G1" s="33" t="str">
        <x:v>wind_speed_m_s</x:v>
      </x:c>
      <x:c r="H1" s="33" t="str">
        <x:v>rainfall_mm</x:v>
      </x:c>
      <x:c r="I1" s="33" t="str">
        <x:v>heat_index_c</x:v>
      </x:c>
      <x:c r="J1" s="33" t="str">
        <x:v>environment_risk</x:v>
      </x:c>
      <x:c r="K1" s="33" t="str">
        <x:v>data_quality</x:v>
      </x:c>
      <x:c r="L1" s="33" t="str">
        <x:v>data_status</x:v>
      </x:c>
    </x:row>
    <x:row r="2" ht="22" customHeight="1">
      <x:c r="A2" s="44" t="n">
        <x:v>46258.395949074074</x:v>
      </x:c>
      <x:c r="B2" s="45" t="str">
        <x:v>WEATHER</x:v>
      </x:c>
      <x:c r="C2" s="45" t="str">
        <x:v>WS-01</x:v>
      </x:c>
      <x:c r="D2" s="45" t="str">
        <x:v>S1</x:v>
      </x:c>
      <x:c r="E2" s="49" t="n">
        <x:v>27.6</x:v>
      </x:c>
      <x:c r="F2" s="49" t="n">
        <x:v>68</x:v>
      </x:c>
      <x:c r="G2" s="49" t="n">
        <x:v>2.1</x:v>
      </x:c>
      <x:c r="H2" s="49" t="n">
        <x:v>0</x:v>
      </x:c>
      <x:c r="I2" s="49" t="n">
        <x:v>29.5</x:v>
      </x:c>
      <x:c r="J2" s="48" t="n">
        <x:f>MIN(1,MAX(0,(E2-'风险规则'!$B$7)/'风险规则'!$B$8)*'风险规则'!$B$9+(F2/100)*'风险规则'!$B$10+(H2/'风险规则'!$B$12)*'风险规则'!$B$11)</x:f>
        <x:v>0.43200000000000005</x:v>
      </x:c>
      <x:c r="K2" s="49" t="n">
        <x:v>0.96</x:v>
      </x:c>
      <x:c r="L2" s="45" t="str">
        <x:v>模拟</x:v>
      </x:c>
    </x:row>
    <x:row r="3" ht="22" customHeight="1">
      <x:c r="A3" s="44" t="n">
        <x:v>46258.43761574074</x:v>
      </x:c>
      <x:c r="B3" s="45" t="str">
        <x:v>WEATHER</x:v>
      </x:c>
      <x:c r="C3" s="45" t="str">
        <x:v>WS-01</x:v>
      </x:c>
      <x:c r="D3" s="45" t="str">
        <x:v>S3</x:v>
      </x:c>
      <x:c r="E3" s="49" t="n">
        <x:v>31.2</x:v>
      </x:c>
      <x:c r="F3" s="49" t="n">
        <x:v>72</x:v>
      </x:c>
      <x:c r="G3" s="49" t="n">
        <x:v>1.6</x:v>
      </x:c>
      <x:c r="H3" s="49" t="n">
        <x:v>0</x:v>
      </x:c>
      <x:c r="I3" s="49" t="n">
        <x:v>34.8</x:v>
      </x:c>
      <x:c r="J3" s="48" t="n">
        <x:f>MIN(1,MAX(0,(E3-'风险规则'!$B$7)/'风险规则'!$B$8)*'风险规则'!$B$9+(F3/100)*'风险规则'!$B$10+(H3/'风险规则'!$B$12)*'风险规则'!$B$11)</x:f>
        <x:v>0.5519999999999999</x:v>
      </x:c>
      <x:c r="K3" s="49" t="n">
        <x:v>0.94</x:v>
      </x:c>
      <x:c r="L3" s="45" t="str">
        <x:v>模拟</x:v>
      </x:c>
    </x:row>
    <x:row r="4" ht="22" customHeight="1">
      <x:c r="A4" s="44" t="n">
        <x:v>46258.47928240741</x:v>
      </x:c>
      <x:c r="B4" s="45" t="str">
        <x:v>WEATHER</x:v>
      </x:c>
      <x:c r="C4" s="45" t="str">
        <x:v>WS-02</x:v>
      </x:c>
      <x:c r="D4" s="45" t="str">
        <x:v>S4</x:v>
      </x:c>
      <x:c r="E4" s="49" t="n">
        <x:v>34.5</x:v>
      </x:c>
      <x:c r="F4" s="49" t="n">
        <x:v>78</x:v>
      </x:c>
      <x:c r="G4" s="49" t="n">
        <x:v>1.2</x:v>
      </x:c>
      <x:c r="H4" s="49" t="n">
        <x:v>3</x:v>
      </x:c>
      <x:c r="I4" s="49" t="n">
        <x:v>40.2</x:v>
      </x:c>
      <x:c r="J4" s="48" t="n">
        <x:f>MIN(1,MAX(0,(E4-'风险规则'!$B$7)/'风险规则'!$B$8)*'风险规则'!$B$9+(F4/100)*'风险规则'!$B$10+(H4/'风险规则'!$B$12)*'风险规则'!$B$11)</x:f>
        <x:v>0.675</x:v>
      </x:c>
      <x:c r="K4" s="49" t="n">
        <x:v>0.92</x:v>
      </x:c>
      <x:c r="L4" s="45" t="str">
        <x:v>模拟</x:v>
      </x:c>
    </x:row>
  </x:sheetData>
  <x:conditionalFormatting sqref="J2:J100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dataValidations count="1">
    <x:dataValidation type="list" sqref="D2:D100">
      <x:formula1>"S1,S2,S3,S4,S5"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8c97cae31349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.25" hidden="0" customWidth="1"/>
    <x:col min="3" max="3" width="38" hidden="0" customWidth="1"/>
    <x:col min="4" max="4" width="12.380000114440918" hidden="0" customWidth="1"/>
    <x:col min="5" max="5" width="17.8799991607666" hidden="0" customWidth="1"/>
    <x:col min="6" max="6" width="12.5" hidden="0" customWidth="1"/>
    <x:col min="7" max="7" width="28" hidden="0" customWidth="1"/>
    <x:col min="8" max="8" width="12.130000114440918" hidden="0" customWidth="1"/>
    <x:col min="9" max="9" width="5.630000114440918" hidden="0" customWidth="1"/>
    <x:col min="11" max="11" width="13.880000114440918" hidden="0" customWidth="1"/>
    <x:col min="12" max="12" width="8.880000114440918" hidden="0" customWidth="1"/>
  </x:cols>
  <x:sheetData>
    <x:row r="1" ht="15" hidden="0" customHeight="1">
      <x:c r="A1" s="15" t="str">
        <x:v>参数</x:v>
      </x:c>
      <x:c r="B1" s="15" t="str">
        <x:v>值</x:v>
      </x:c>
      <x:c r="C1" s="15" t="str">
        <x:v>说明</x:v>
      </x:c>
      <x:c r="D1" s="16"/>
      <x:c r="E1" s="15" t="str">
        <x:v>心率上限（bpm）</x:v>
      </x:c>
      <x:c r="F1" s="15" t="str">
        <x:v>风险值</x:v>
      </x:c>
      <x:c r="G1" s="16"/>
      <x:c r="H1" s="15" t="str">
        <x:v>血氧下限（%）</x:v>
      </x:c>
      <x:c r="I1" s="15" t="str">
        <x:v>风险值</x:v>
      </x:c>
      <x:c r="J1" s="16"/>
      <x:c r="K1" s="15" t="str">
        <x:v>速度上限（m/s）</x:v>
      </x:c>
      <x:c r="L1" s="15" t="str">
        <x:v>运动风险值</x:v>
      </x:c>
    </x:row>
    <x:row r="2" ht="15" hidden="0" customHeight="1">
      <x:c r="A2" s="16" t="str">
        <x:v>heart_rate_weight</x:v>
      </x:c>
      <x:c r="B2" s="17" t="n">
        <x:v>0.4</x:v>
      </x:c>
      <x:c r="C2" s="16" t="str">
        <x:v>健康风险中心率风险权重（原型值）</x:v>
      </x:c>
      <x:c r="D2" s="16"/>
      <x:c r="E2" s="16" t="n">
        <x:v>159</x:v>
      </x:c>
      <x:c r="F2" s="17" t="n">
        <x:v>0.1</x:v>
      </x:c>
      <x:c r="G2" s="16"/>
      <x:c r="H2" s="16" t="n">
        <x:v>95</x:v>
      </x:c>
      <x:c r="I2" s="17" t="n">
        <x:v>0.1</x:v>
      </x:c>
      <x:c r="J2" s="16"/>
      <x:c r="K2" s="16" t="n">
        <x:v>1</x:v>
      </x:c>
      <x:c r="L2" s="17" t="n">
        <x:v>0.8</x:v>
      </x:c>
    </x:row>
    <x:row r="3" ht="15" hidden="0" customHeight="1">
      <x:c r="A3" s="16" t="str">
        <x:v>spo2_weight</x:v>
      </x:c>
      <x:c r="B3" s="17" t="n">
        <x:v>0.35</x:v>
      </x:c>
      <x:c r="C3" s="16" t="str">
        <x:v>健康风险中血氧风险权重（原型值）</x:v>
      </x:c>
      <x:c r="D3" s="16"/>
      <x:c r="E3" s="16" t="n">
        <x:v>179</x:v>
      </x:c>
      <x:c r="F3" s="17" t="n">
        <x:v>0.4</x:v>
      </x:c>
      <x:c r="G3" s="16"/>
      <x:c r="H3" s="16" t="n">
        <x:v>93</x:v>
      </x:c>
      <x:c r="I3" s="17" t="n">
        <x:v>0.4</x:v>
      </x:c>
      <x:c r="J3" s="16"/>
      <x:c r="K3" s="16" t="n">
        <x:v>2</x:v>
      </x:c>
      <x:c r="L3" s="17" t="n">
        <x:v>0.4</x:v>
      </x:c>
    </x:row>
    <x:row r="4" ht="15" hidden="0" customHeight="1">
      <x:c r="A4" s="16" t="str">
        <x:v>motion_weight</x:v>
      </x:c>
      <x:c r="B4" s="17" t="n">
        <x:v>0.25</x:v>
      </x:c>
      <x:c r="C4" s="16" t="str">
        <x:v>健康风险中运动异常权重（原型值）</x:v>
      </x:c>
      <x:c r="D4" s="16"/>
      <x:c r="E4" s="16" t="n">
        <x:v>189</x:v>
      </x:c>
      <x:c r="F4" s="17" t="n">
        <x:v>0.7</x:v>
      </x:c>
      <x:c r="G4" s="16"/>
      <x:c r="H4" s="16" t="n">
        <x:v>90</x:v>
      </x:c>
      <x:c r="I4" s="17" t="n">
        <x:v>0.7</x:v>
      </x:c>
      <x:c r="J4" s="16"/>
      <x:c r="K4" s="16" t="n">
        <x:v>999</x:v>
      </x:c>
      <x:c r="L4" s="17" t="n">
        <x:v>0.1</x:v>
      </x:c>
    </x:row>
    <x:row r="5" ht="15" hidden="0" customHeight="1">
      <x:c r="A5" s="16" t="str">
        <x:v>crowd_density_reference</x:v>
      </x:c>
      <x:c r="B5" s="17" t="n">
        <x:v>3.5</x:v>
      </x:c>
      <x:c r="C5" s="16" t="str">
        <x:v>人群密度风险归一化参考值，人/平方米</x:v>
      </x:c>
      <x:c r="D5" s="16"/>
      <x:c r="E5" s="16" t="n">
        <x:v>999</x:v>
      </x:c>
      <x:c r="F5" s="17" t="n">
        <x:v>1</x:v>
      </x:c>
      <x:c r="G5" s="16"/>
      <x:c r="H5" s="16" t="n">
        <x:v>0</x:v>
      </x:c>
      <x:c r="I5" s="17" t="n">
        <x:v>1</x:v>
      </x:c>
      <x:c r="J5" s="16"/>
      <x:c r="K5" s="16"/>
      <x:c r="L5" s="16"/>
    </x:row>
    <x:row r="6" ht="15" hidden="0" customHeight="1">
      <x:c r="A6" s="16" t="str">
        <x:v>rescue_distance_reference_m</x:v>
      </x:c>
      <x:c r="B6" s="17" t="n">
        <x:v>1500</x:v>
      </x:c>
      <x:c r="C6" s="16" t="str">
        <x:v>救援距离风险归一化参考值，米</x:v>
      </x:c>
      <x:c r="D6" s="16"/>
      <x:c r="E6" s="16"/>
      <x:c r="F6" s="16"/>
      <x:c r="G6" s="16"/>
      <x:c r="H6" s="16"/>
      <x:c r="I6" s="16"/>
      <x:c r="J6" s="16"/>
      <x:c r="K6" s="16"/>
      <x:c r="L6" s="16"/>
    </x:row>
    <x:row r="7" ht="15" hidden="0" customHeight="1">
      <x:c r="A7" s="16" t="str">
        <x:v>environment_temp_reference</x:v>
      </x:c>
      <x:c r="B7" s="17" t="n">
        <x:v>20</x:v>
      </x:c>
      <x:c r="C7" s="16" t="str">
        <x:v>环境风险温度基准，℃</x:v>
      </x:c>
      <x:c r="D7" s="16"/>
      <x:c r="E7" s="16"/>
      <x:c r="F7" s="16"/>
      <x:c r="G7" s="16"/>
      <x:c r="H7" s="16"/>
      <x:c r="I7" s="16"/>
      <x:c r="J7" s="16"/>
      <x:c r="K7" s="16"/>
      <x:c r="L7" s="16"/>
    </x:row>
    <x:row r="8" ht="15" hidden="0" customHeight="1">
      <x:c r="A8" s="16" t="str">
        <x:v>environment_temp_range</x:v>
      </x:c>
      <x:c r="B8" s="17" t="n">
        <x:v>20</x:v>
      </x:c>
      <x:c r="C8" s="16" t="str">
        <x:v>环境温度归一化区间，℃</x:v>
      </x:c>
      <x:c r="D8" s="16"/>
      <x:c r="E8" s="16"/>
      <x:c r="F8" s="16"/>
      <x:c r="G8" s="16"/>
      <x:c r="H8" s="16"/>
      <x:c r="I8" s="16"/>
      <x:c r="J8" s="16"/>
      <x:c r="K8" s="16"/>
      <x:c r="L8" s="16"/>
    </x:row>
    <x:row r="9" ht="15" hidden="0" customHeight="1">
      <x:c r="A9" s="16" t="str">
        <x:v>environment_temp_weight</x:v>
      </x:c>
      <x:c r="B9" s="17" t="n">
        <x:v>0.6</x:v>
      </x:c>
      <x:c r="C9" s="16" t="str">
        <x:v>环境风险中温度权重</x:v>
      </x:c>
      <x:c r="D9" s="16"/>
      <x:c r="E9" s="16"/>
      <x:c r="F9" s="16"/>
      <x:c r="G9" s="16"/>
      <x:c r="H9" s="16"/>
      <x:c r="I9" s="16"/>
      <x:c r="J9" s="16"/>
      <x:c r="K9" s="16"/>
      <x:c r="L9" s="16"/>
    </x:row>
    <x:row r="10" ht="15" hidden="0" customHeight="1">
      <x:c r="A10" s="16" t="str">
        <x:v>environment_humidity_weight</x:v>
      </x:c>
      <x:c r="B10" s="17" t="n">
        <x:v>0.3</x:v>
      </x:c>
      <x:c r="C10" s="16" t="str">
        <x:v>环境风险中湿度权重</x:v>
      </x:c>
      <x:c r="D10" s="16"/>
      <x:c r="E10" s="16"/>
      <x:c r="F10" s="16"/>
      <x:c r="G10" s="16"/>
      <x:c r="H10" s="16"/>
      <x:c r="I10" s="16"/>
      <x:c r="J10" s="16"/>
      <x:c r="K10" s="16"/>
      <x:c r="L10" s="16"/>
    </x:row>
    <x:row r="11" ht="15" hidden="0" customHeight="1">
      <x:c r="A11" s="16" t="str">
        <x:v>environment_rain_weight</x:v>
      </x:c>
      <x:c r="B11" s="17" t="n">
        <x:v>0.1</x:v>
      </x:c>
      <x:c r="C11" s="16" t="str">
        <x:v>环境风险中降雨权重</x:v>
      </x:c>
      <x:c r="D11" s="16"/>
      <x:c r="E11" s="16"/>
      <x:c r="F11" s="16"/>
      <x:c r="G11" s="16"/>
      <x:c r="H11" s="16"/>
      <x:c r="I11" s="16"/>
      <x:c r="J11" s="16"/>
      <x:c r="K11" s="16"/>
      <x:c r="L11" s="16"/>
    </x:row>
    <x:row r="12" ht="15" hidden="0" customHeight="1">
      <x:c r="A12" s="16" t="str">
        <x:v>rainfall_reference_mm</x:v>
      </x:c>
      <x:c r="B12" s="17" t="n">
        <x:v>50</x:v>
      </x:c>
      <x:c r="C12" s="16" t="str">
        <x:v>降雨归一化参考值，毫米</x:v>
      </x:c>
      <x:c r="D12" s="16"/>
      <x:c r="E12" s="16"/>
      <x:c r="F12" s="16"/>
      <x:c r="G12" s="16"/>
      <x:c r="H12" s="16"/>
      <x:c r="I12" s="16"/>
      <x:c r="J12" s="16"/>
      <x:c r="K12" s="16"/>
      <x:c r="L12" s="16"/>
    </x:row>
    <x:row r="13" ht="15" hidden="0" customHeight="1">
      <x:c r="A13" s="16" t="str"/>
      <x:c r="B13" s="17" t="str"/>
      <x:c r="C13" s="16" t="str"/>
      <x:c r="D13" s="16"/>
      <x:c r="E13" s="16"/>
      <x:c r="F13" s="16"/>
      <x:c r="G13" s="16"/>
      <x:c r="H13" s="16"/>
      <x:c r="I13" s="16"/>
      <x:c r="J13" s="16"/>
      <x:c r="K13" s="16"/>
      <x:c r="L13" s="16"/>
    </x:row>
    <x:row r="14" ht="15" hidden="0" customHeight="1">
      <x:c r="A14" s="16" t="str">
        <x:v>normal_max</x:v>
      </x:c>
      <x:c r="B14" s="17" t="n">
        <x:v>0.35</x:v>
      </x:c>
      <x:c r="C14" s="16" t="str">
        <x:v>正常等级上限</x:v>
      </x:c>
      <x:c r="D14" s="16"/>
      <x:c r="E14" s="16"/>
      <x:c r="F14" s="16"/>
      <x:c r="G14" s="16"/>
      <x:c r="H14" s="16"/>
      <x:c r="I14" s="16"/>
      <x:c r="J14" s="16"/>
      <x:c r="K14" s="16"/>
      <x:c r="L14" s="16"/>
    </x:row>
    <x:row r="15" ht="15" hidden="0" customHeight="1">
      <x:c r="A15" s="16" t="str">
        <x:v>attention_max</x:v>
      </x:c>
      <x:c r="B15" s="17" t="n">
        <x:v>0.55</x:v>
      </x:c>
      <x:c r="C15" s="16" t="str">
        <x:v>需要关注等级上限</x:v>
      </x:c>
      <x:c r="D15" s="16"/>
      <x:c r="E15" s="16"/>
      <x:c r="F15" s="16"/>
      <x:c r="G15" s="16"/>
      <x:c r="H15" s="16"/>
      <x:c r="I15" s="16"/>
      <x:c r="J15" s="16"/>
      <x:c r="K15" s="16"/>
      <x:c r="L15" s="16"/>
    </x:row>
    <x:row r="16" ht="15" hidden="0" customHeight="1">
      <x:c r="A16" s="16" t="str">
        <x:v>elevated_max</x:v>
      </x:c>
      <x:c r="B16" s="17" t="n">
        <x:v>0.75</x:v>
      </x:c>
      <x:c r="C16" s="16" t="str">
        <x:v>较高风险等级上限</x:v>
      </x:c>
      <x:c r="D16" s="16"/>
      <x:c r="E16" s="16"/>
      <x:c r="F16" s="16"/>
      <x:c r="G16" s="16"/>
      <x:c r="H16" s="16"/>
      <x:c r="I16" s="16"/>
      <x:c r="J16" s="16"/>
      <x:c r="K16" s="16"/>
      <x:c r="L16" s="16"/>
    </x:row>
    <x:row r="17" ht="15" hidden="0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</x:row>
    <x:row r="18" ht="15" hidden="0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</x:row>
    <x:row r="19" ht="15" hidden="0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</x:row>
    <x:row r="20" ht="15" hidden="0" customHeight="1">
      <x:c r="A20" s="15" t="str">
        <x:v>segment_id</x:v>
      </x:c>
      <x:c r="B20" s="15" t="str">
        <x:v>crowd_weight</x:v>
      </x:c>
      <x:c r="C20" s="15" t="str">
        <x:v>visual_weight</x:v>
      </x:c>
      <x:c r="D20" s="15" t="str">
        <x:v>health_weight</x:v>
      </x:c>
      <x:c r="E20" s="15" t="str">
        <x:v>environment_weight</x:v>
      </x:c>
      <x:c r="F20" s="15" t="str">
        <x:v>rescue_weight</x:v>
      </x:c>
      <x:c r="G20" s="15" t="str">
        <x:v>监测重点</x:v>
      </x:c>
      <x:c r="H20" s="16"/>
      <x:c r="I20" s="16"/>
      <x:c r="J20" s="16"/>
      <x:c r="K20" s="16"/>
      <x:c r="L20" s="16"/>
    </x:row>
    <x:row r="21" ht="15" hidden="0" customHeight="1">
      <x:c r="A21" s="16" t="str">
        <x:v>S1</x:v>
      </x:c>
      <x:c r="B21" s="18" t="n">
        <x:v>0.5</x:v>
      </x:c>
      <x:c r="C21" s="18" t="n">
        <x:v>0.2</x:v>
      </x:c>
      <x:c r="D21" s="18" t="n">
        <x:v>0.15</x:v>
      </x:c>
      <x:c r="E21" s="18" t="n">
        <x:v>0.1</x:v>
      </x:c>
      <x:c r="F21" s="18" t="n">
        <x:v>0.05</x:v>
      </x:c>
      <x:c r="G21" s="16" t="str">
        <x:v>人员聚集与通行秩序</x:v>
      </x:c>
      <x:c r="H21" s="16"/>
      <x:c r="I21" s="16"/>
      <x:c r="J21" s="16"/>
      <x:c r="K21" s="16"/>
      <x:c r="L21" s="16"/>
    </x:row>
    <x:row r="22" ht="15" hidden="0" customHeight="1">
      <x:c r="A22" s="16" t="str">
        <x:v>S2</x:v>
      </x:c>
      <x:c r="B22" s="18" t="n">
        <x:v>0.4</x:v>
      </x:c>
      <x:c r="C22" s="18" t="n">
        <x:v>0.2</x:v>
      </x:c>
      <x:c r="D22" s="18" t="n">
        <x:v>0.2</x:v>
      </x:c>
      <x:c r="E22" s="18" t="n">
        <x:v>0.1</x:v>
      </x:c>
      <x:c r="F22" s="18" t="n">
        <x:v>0.1</x:v>
      </x:c>
      <x:c r="G22" s="16" t="str">
        <x:v>聚集安全优先</x:v>
      </x:c>
      <x:c r="H22" s="16"/>
      <x:c r="I22" s="16"/>
      <x:c r="J22" s="16"/>
      <x:c r="K22" s="16"/>
      <x:c r="L22" s="16"/>
    </x:row>
    <x:row r="23" ht="15" hidden="0" customHeight="1">
      <x:c r="A23" s="16" t="str">
        <x:v>S3</x:v>
      </x:c>
      <x:c r="B23" s="18" t="n">
        <x:v>0.25</x:v>
      </x:c>
      <x:c r="C23" s="18" t="n">
        <x:v>0.2</x:v>
      </x:c>
      <x:c r="D23" s="18" t="n">
        <x:v>0.3</x:v>
      </x:c>
      <x:c r="E23" s="18" t="n">
        <x:v>0.15</x:v>
      </x:c>
      <x:c r="F23" s="18" t="n">
        <x:v>0.1</x:v>
      </x:c>
      <x:c r="G23" s="16" t="str">
        <x:v>聚集与健康并重</x:v>
      </x:c>
      <x:c r="H23" s="16"/>
      <x:c r="I23" s="16"/>
      <x:c r="J23" s="16"/>
      <x:c r="K23" s="16"/>
      <x:c r="L23" s="16"/>
    </x:row>
    <x:row r="24" ht="15" hidden="0" customHeight="1">
      <x:c r="A24" s="16" t="str">
        <x:v>S4</x:v>
      </x:c>
      <x:c r="B24" s="18" t="n">
        <x:v>0.15</x:v>
      </x:c>
      <x:c r="C24" s="18" t="n">
        <x:v>0.3</x:v>
      </x:c>
      <x:c r="D24" s="18" t="n">
        <x:v>0.4</x:v>
      </x:c>
      <x:c r="E24" s="18" t="n">
        <x:v>0.1</x:v>
      </x:c>
      <x:c r="F24" s="18" t="n">
        <x:v>0.05</x:v>
      </x:c>
      <x:c r="G24" s="16" t="str">
        <x:v>体征异常与跌倒</x:v>
      </x:c>
      <x:c r="H24" s="16"/>
      <x:c r="I24" s="16"/>
      <x:c r="J24" s="16"/>
      <x:c r="K24" s="16"/>
      <x:c r="L24" s="16"/>
    </x:row>
    <x:row r="25" ht="15" hidden="0" customHeight="1">
      <x:c r="A25" s="16" t="str">
        <x:v>S5</x:v>
      </x:c>
      <x:c r="B25" s="18" t="n">
        <x:v>0.3</x:v>
      </x:c>
      <x:c r="C25" s="18" t="n">
        <x:v>0.2</x:v>
      </x:c>
      <x:c r="D25" s="18" t="n">
        <x:v>0.35</x:v>
      </x:c>
      <x:c r="E25" s="18" t="n">
        <x:v>0.1</x:v>
      </x:c>
      <x:c r="F25" s="18" t="n">
        <x:v>0.05</x:v>
      </x:c>
      <x:c r="G25" s="16" t="str">
        <x:v>终点聚集与疲劳</x:v>
      </x:c>
      <x:c r="H25" s="16"/>
      <x:c r="I25" s="16"/>
      <x:c r="J25" s="16"/>
      <x:c r="K25" s="16"/>
      <x:c r="L25" s="16"/>
    </x:row>
    <x:row r="26" ht="15" hidden="0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</x:row>
    <x:row r="27" ht="15" hidden="0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</x:row>
    <x:row r="28" ht="15" hidden="0" customHeight="1">
      <x:c r="A28" s="15" t="str">
        <x:v>紧急规则参数</x:v>
      </x:c>
      <x:c r="B28" s="15" t="str">
        <x:v>阈值</x:v>
      </x:c>
      <x:c r="C28" s="15" t="str">
        <x:v>说明</x:v>
      </x:c>
      <x:c r="D28" s="16"/>
      <x:c r="E28" s="16"/>
      <x:c r="F28" s="16"/>
      <x:c r="G28" s="16"/>
      <x:c r="H28" s="16"/>
      <x:c r="I28" s="16"/>
      <x:c r="J28" s="16"/>
      <x:c r="K28" s="16"/>
      <x:c r="L28" s="16"/>
    </x:row>
    <x:row r="29" ht="15" hidden="0" customHeight="1">
      <x:c r="A29" s="16" t="str">
        <x:v>fall_confidence_threshold</x:v>
      </x:c>
      <x:c r="B29" s="17" t="n">
        <x:v>0.8</x:v>
      </x:c>
      <x:c r="C29" s="16" t="str">
        <x:v>跌倒置信度达到该值后检查健康风险</x:v>
      </x:c>
      <x:c r="D29" s="16"/>
      <x:c r="E29" s="16"/>
      <x:c r="F29" s="16"/>
      <x:c r="G29" s="16"/>
      <x:c r="H29" s="16"/>
      <x:c r="I29" s="16"/>
      <x:c r="J29" s="16"/>
      <x:c r="K29" s="16"/>
      <x:c r="L29" s="16"/>
    </x:row>
    <x:row r="30" ht="15" hidden="0" customHeight="1">
      <x:c r="A30" s="16" t="str">
        <x:v>health_risk_threshold</x:v>
      </x:c>
      <x:c r="B30" s="17" t="n">
        <x:v>0.7</x:v>
      </x:c>
      <x:c r="C30" s="16" t="str">
        <x:v>与高跌倒风险同时满足时直接升级高风险</x:v>
      </x:c>
      <x:c r="D30" s="16"/>
      <x:c r="E30" s="16"/>
      <x:c r="F30" s="16"/>
      <x:c r="G30" s="16"/>
      <x:c r="H30" s="16"/>
      <x:c r="I30" s="16"/>
      <x:c r="J30" s="16"/>
      <x:c r="K30" s="16"/>
      <x:c r="L30" s="16"/>
    </x:row>
    <x:row r="31" ht="15" hidden="0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</x:row>
    <x:row r="32" ht="15" hidden="0" customHeight="1">
      <x:c r="A32" s="19" t="str">
        <x:v>重要说明</x:v>
      </x:c>
      <x:c r="B32" s="19" t="str"/>
      <x:c r="C32" s="19" t="str"/>
      <x:c r="D32" s="16"/>
      <x:c r="E32" s="16"/>
      <x:c r="F32" s="16"/>
      <x:c r="G32" s="16"/>
      <x:c r="H32" s="16"/>
      <x:c r="I32" s="16"/>
      <x:c r="J32" s="16"/>
      <x:c r="K32" s="16"/>
      <x:c r="L32" s="16"/>
    </x:row>
    <x:row r="33" ht="15" hidden="0" customHeight="1">
      <x:c r="A33" s="19" t="str">
        <x:v>当前所有阈值和权重均为原型演示值，尚未经过真实赛事或医学验证。</x:v>
      </x:c>
      <x:c r="B33" s="19" t="str"/>
      <x:c r="C33" s="19" t="str"/>
      <x:c r="D33" s="16"/>
      <x:c r="E33" s="16"/>
      <x:c r="F33" s="16"/>
      <x:c r="G33" s="16"/>
      <x:c r="H33" s="16"/>
      <x:c r="I33" s="16"/>
      <x:c r="J33" s="16"/>
      <x:c r="K33" s="16"/>
      <x:c r="L33" s="16"/>
    </x:row>
  </x:sheetData>
  <x:mergeCells>
    <x:mergeCell ref="A32:C32"/>
    <x:mergeCell ref="A33:C3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22" hidden="0" customWidth="1"/>
    <x:col min="3" max="3" width="21" hidden="0" customWidth="1"/>
    <x:col min="4" max="4" width="10.130000114440918" hidden="0" customWidth="1"/>
    <x:col min="5" max="5" width="8.75" hidden="0" customWidth="1"/>
    <x:col min="6" max="6" width="8.630000114440918" hidden="0" customWidth="1"/>
    <x:col min="7" max="7" width="7" hidden="0" customWidth="1"/>
    <x:col min="8" max="8" width="9.5" hidden="0" customWidth="1"/>
    <x:col min="9" max="9" width="9.130000114440918" hidden="0" customWidth="1"/>
    <x:col min="10" max="10" width="9.630000114440918" hidden="0" customWidth="1"/>
    <x:col min="11" max="11" width="15.130000114440918" hidden="0" customWidth="1"/>
    <x:col min="12" max="12" width="9.75" hidden="0" customWidth="1"/>
    <x:col min="13" max="13" width="17" hidden="0" customWidth="1"/>
    <x:col min="14" max="14" width="8.25" hidden="0" customWidth="1"/>
    <x:col min="15" max="15" width="11" hidden="0" customWidth="1"/>
    <x:col min="16" max="16" width="11.630000114440918" hidden="0" customWidth="1"/>
    <x:col min="17" max="17" width="12" hidden="0" customWidth="1"/>
    <x:col min="18" max="18" width="21" hidden="0" customWidth="1"/>
    <x:col min="19" max="19" width="21" hidden="0" customWidth="1"/>
    <x:col min="20" max="20" width="21" hidden="0" customWidth="1"/>
    <x:col min="21" max="21" width="16.1299991607666" hidden="0" customWidth="1"/>
    <x:col min="22" max="22" width="24" hidden="0" customWidth="1"/>
    <x:col min="23" max="23" width="12.5" hidden="0" customWidth="1"/>
    <x:col min="24" max="24" width="26" hidden="0" customWidth="1"/>
  </x:cols>
  <x:sheetData>
    <x:row r="1" ht="22" customHeight="1">
      <x:c r="A1" s="32" t="str">
        <x:v>event_id</x:v>
      </x:c>
      <x:c r="B1" s="33" t="str">
        <x:v>event_type</x:v>
      </x:c>
      <x:c r="C1" s="33" t="str">
        <x:v>timestamp</x:v>
      </x:c>
      <x:c r="D1" s="33" t="str">
        <x:v>segment_id</x:v>
      </x:c>
      <x:c r="E1" s="33" t="str">
        <x:v>athlete_id</x:v>
      </x:c>
      <x:c r="F1" s="33" t="str">
        <x:v>longitude</x:v>
      </x:c>
      <x:c r="G1" s="33" t="str">
        <x:v>latitude</x:v>
      </x:c>
      <x:c r="H1" s="33" t="str">
        <x:v>crowd_risk</x:v>
      </x:c>
      <x:c r="I1" s="33" t="str">
        <x:v>visual_risk</x:v>
      </x:c>
      <x:c r="J1" s="33" t="str">
        <x:v>health_risk</x:v>
      </x:c>
      <x:c r="K1" s="33" t="str">
        <x:v>environment_risk</x:v>
      </x:c>
      <x:c r="L1" s="33" t="str">
        <x:v>rescue_risk</x:v>
      </x:c>
      <x:c r="M1" s="33" t="str">
        <x:v>comprehensive_risk</x:v>
      </x:c>
      <x:c r="N1" s="33" t="str">
        <x:v>risk_level</x:v>
      </x:c>
      <x:c r="O1" s="33" t="str">
        <x:v>event_status</x:v>
      </x:c>
      <x:c r="P1" s="33" t="str">
        <x:v>assigned_uav</x:v>
      </x:c>
      <x:c r="Q1" s="33" t="str">
        <x:v>assigned_unit</x:v>
      </x:c>
      <x:c r="R1" s="33" t="str">
        <x:v>detected_at</x:v>
      </x:c>
      <x:c r="S1" s="33" t="str">
        <x:v>responded_at</x:v>
      </x:c>
      <x:c r="T1" s="33" t="str">
        <x:v>completed_at</x:v>
      </x:c>
      <x:c r="U1" s="33" t="str">
        <x:v>response_time_sec</x:v>
      </x:c>
      <x:c r="V1" s="33" t="str">
        <x:v>handling_result</x:v>
      </x:c>
      <x:c r="W1" s="33" t="str">
        <x:v>data_source</x:v>
      </x:c>
      <x:c r="X1" s="33" t="str">
        <x:v>notes</x:v>
      </x:c>
    </x:row>
    <x:row r="2" ht="22" customHeight="1">
      <x:c r="A2" s="51" t="str">
        <x:v>EVT-0001</x:v>
      </x:c>
      <x:c r="B2" s="45" t="str">
        <x:v>人员聚集</x:v>
      </x:c>
      <x:c r="C2" s="52" t="n">
        <x:v>46258.395949074074</x:v>
      </x:c>
      <x:c r="D2" s="45" t="str">
        <x:v>S1</x:v>
      </x:c>
      <x:c r="E2" s="45" t="str"/>
      <x:c r="F2" s="46" t="n">
        <x:v>118.8168</x:v>
      </x:c>
      <x:c r="G2" s="46" t="n">
        <x:v>32.0835</x:v>
      </x:c>
      <x:c r="H2" s="49" t="n">
        <x:v>0.8</x:v>
      </x:c>
      <x:c r="I2" s="49" t="n">
        <x:v>0.1</x:v>
      </x:c>
      <x:c r="J2" s="49" t="n">
        <x:v>0.15</x:v>
      </x:c>
      <x:c r="K2" s="49" t="n">
        <x:v>0.25</x:v>
      </x:c>
      <x:c r="L2" s="49" t="n">
        <x:v>0.2</x:v>
      </x:c>
      <x:c r="M2" s="48" t="n">
        <x:f>H2*INDEX('风险规则'!$B$21:$B$25,MATCH(D2,'风险规则'!$A$21:$A$25,0))+I2*INDEX('风险规则'!$C$21:$C$25,MATCH(D2,'风险规则'!$A$21:$A$25,0))+J2*INDEX('风险规则'!$D$21:$D$25,MATCH(D2,'风险规则'!$A$21:$A$25,0))+K2*INDEX('风险规则'!$E$21:$E$25,MATCH(D2,'风险规则'!$A$21:$A$25,0))+L2*INDEX('风险规则'!$F$21:$F$25,MATCH(D2,'风险规则'!$A$21:$A$25,0))</x:f>
        <x:v>0.4775000000000001</x:v>
      </x:c>
      <x:c r="N2" s="50" t="str">
        <x:f>IF(AND(I2&gt;='风险规则'!$B$29,J2&gt;='风险规则'!$B$30),"高风险",IF(M2&lt;='风险规则'!$B$14,"正常",IF(M2&lt;='风险规则'!$B$15,"需要关注",IF(M2&lt;='风险规则'!$B$16,"较高风险","高风险"))))</x:f>
        <x:v>需要关注</x:v>
      </x:c>
      <x:c r="O2" s="45" t="str">
        <x:v>处理中</x:v>
      </x:c>
      <x:c r="P2" s="45" t="str">
        <x:v>UAV-01</x:v>
      </x:c>
      <x:c r="Q2" s="45" t="str">
        <x:v>赛事指挥中心</x:v>
      </x:c>
      <x:c r="R2" s="52" t="n">
        <x:v>46258.395949074074</x:v>
      </x:c>
      <x:c r="S2" s="52" t="n">
        <x:v>46258.396319444444</x:v>
      </x:c>
      <x:c r="T2" s="52"/>
      <x:c r="U2" s="53" t="n">
        <x:f>IF(OR(R2="",S2=""),"",(S2-R2)*86400)</x:f>
        <x:v>31.999999936670065</x:v>
      </x:c>
      <x:c r="V2" s="45" t="str">
        <x:v>无人机前往复核</x:v>
      </x:c>
      <x:c r="W2" s="45" t="str">
        <x:v>UAV+GIS</x:v>
      </x:c>
      <x:c r="X2" s="45" t="str">
        <x:v>模拟聚集事件</x:v>
      </x:c>
    </x:row>
    <x:row r="3" ht="22" customHeight="1">
      <x:c r="A3" s="51" t="str">
        <x:v>EVT-0002</x:v>
      </x:c>
      <x:c r="B3" s="45" t="str">
        <x:v>体征异常</x:v>
      </x:c>
      <x:c r="C3" s="52" t="n">
        <x:v>46258.44814814815</x:v>
      </x:c>
      <x:c r="D3" s="45" t="str">
        <x:v>S4</x:v>
      </x:c>
      <x:c r="E3" s="45" t="str">
        <x:v>R087</x:v>
      </x:c>
      <x:c r="F3" s="46" t="n">
        <x:v>118.8312</x:v>
      </x:c>
      <x:c r="G3" s="46" t="n">
        <x:v>32.0965</x:v>
      </x:c>
      <x:c r="H3" s="49" t="n">
        <x:v>0.15</x:v>
      </x:c>
      <x:c r="I3" s="49" t="n">
        <x:v>0.35</x:v>
      </x:c>
      <x:c r="J3" s="49" t="n">
        <x:v>0.86</x:v>
      </x:c>
      <x:c r="K3" s="49" t="n">
        <x:v>0.45</x:v>
      </x:c>
      <x:c r="L3" s="49" t="n">
        <x:v>0.43</x:v>
      </x:c>
      <x:c r="M3" s="48" t="n">
        <x:f>H3*INDEX('风险规则'!$B$21:$B$25,MATCH(D3,'风险规则'!$A$21:$A$25,0))+I3*INDEX('风险规则'!$C$21:$C$25,MATCH(D3,'风险规则'!$A$21:$A$25,0))+J3*INDEX('风险规则'!$D$21:$D$25,MATCH(D3,'风险规则'!$A$21:$A$25,0))+K3*INDEX('风险规则'!$E$21:$E$25,MATCH(D3,'风险规则'!$A$21:$A$25,0))+L3*INDEX('风险规则'!$F$21:$F$25,MATCH(D3,'风险规则'!$A$21:$A$25,0))</x:f>
        <x:v>0.538</x:v>
      </x:c>
      <x:c r="N3" s="50" t="str">
        <x:f>IF(AND(I3&gt;='风险规则'!$B$29,J3&gt;='风险规则'!$B$30),"高风险",IF(M3&lt;='风险规则'!$B$14,"正常",IF(M3&lt;='风险规则'!$B$15,"需要关注",IF(M3&lt;='风险规则'!$B$16,"较高风险","高风险"))))</x:f>
        <x:v>需要关注</x:v>
      </x:c>
      <x:c r="O3" s="45" t="str">
        <x:v>处理中</x:v>
      </x:c>
      <x:c r="P3" s="45" t="str">
        <x:v>UAV-02</x:v>
      </x:c>
      <x:c r="Q3" s="45" t="str">
        <x:v>医疗组</x:v>
      </x:c>
      <x:c r="R3" s="52" t="n">
        <x:v>46258.44814814815</x:v>
      </x:c>
      <x:c r="S3" s="52" t="n">
        <x:v>46258.44855324074</x:v>
      </x:c>
      <x:c r="T3" s="52"/>
      <x:c r="U3" s="53" t="n">
        <x:f>IF(OR(R3="",S3=""),"",(S3-R3)*86400)</x:f>
        <x:v>35.000000009313226</x:v>
      </x:c>
      <x:c r="V3" s="45" t="str">
        <x:v>通知医疗组关注</x:v>
      </x:c>
      <x:c r="W3" s="45" t="str">
        <x:v>手环+GIS</x:v>
      </x:c>
      <x:c r="X3" s="45" t="str">
        <x:v>模拟体征异常</x:v>
      </x:c>
    </x:row>
    <x:row r="4" ht="22" customHeight="1">
      <x:c r="A4" s="51" t="str">
        <x:v>EVT-0003</x:v>
      </x:c>
      <x:c r="B4" s="45" t="str">
        <x:v>跌倒并体征异常</x:v>
      </x:c>
      <x:c r="C4" s="52" t="n">
        <x:v>46258.453125</x:v>
      </x:c>
      <x:c r="D4" s="45" t="str">
        <x:v>S4</x:v>
      </x:c>
      <x:c r="E4" s="45" t="str">
        <x:v>R087</x:v>
      </x:c>
      <x:c r="F4" s="46" t="n">
        <x:v>118.831</x:v>
      </x:c>
      <x:c r="G4" s="46" t="n">
        <x:v>32.0967</x:v>
      </x:c>
      <x:c r="H4" s="49" t="n">
        <x:v>0.15</x:v>
      </x:c>
      <x:c r="I4" s="49" t="n">
        <x:v>0.92</x:v>
      </x:c>
      <x:c r="J4" s="49" t="n">
        <x:v>0.78</x:v>
      </x:c>
      <x:c r="K4" s="49" t="n">
        <x:v>0.4</x:v>
      </x:c>
      <x:c r="L4" s="49" t="n">
        <x:v>0.43</x:v>
      </x:c>
      <x:c r="M4" s="48" t="n">
        <x:f>H4*INDEX('风险规则'!$B$21:$B$25,MATCH(D4,'风险规则'!$A$21:$A$25,0))+I4*INDEX('风险规则'!$C$21:$C$25,MATCH(D4,'风险规则'!$A$21:$A$25,0))+J4*INDEX('风险规则'!$D$21:$D$25,MATCH(D4,'风险规则'!$A$21:$A$25,0))+K4*INDEX('风险规则'!$E$21:$E$25,MATCH(D4,'风险规则'!$A$21:$A$25,0))+L4*INDEX('风险规则'!$F$21:$F$25,MATCH(D4,'风险规则'!$A$21:$A$25,0))</x:f>
        <x:v>0.672</x:v>
      </x:c>
      <x:c r="N4" s="50" t="str">
        <x:f>IF(AND(I4&gt;='风险规则'!$B$29,J4&gt;='风险规则'!$B$30),"高风险",IF(M4&lt;='风险规则'!$B$14,"正常",IF(M4&lt;='风险规则'!$B$15,"需要关注",IF(M4&lt;='风险规则'!$B$16,"较高风险","高风险"))))</x:f>
        <x:v>高风险</x:v>
      </x:c>
      <x:c r="O4" s="45" t="str">
        <x:v>已完成</x:v>
      </x:c>
      <x:c r="P4" s="45" t="str">
        <x:v>UAV-02</x:v>
      </x:c>
      <x:c r="Q4" s="45" t="str">
        <x:v>医疗组</x:v>
      </x:c>
      <x:c r="R4" s="52" t="n">
        <x:v>46258.453125</x:v>
      </x:c>
      <x:c r="S4" s="52" t="n">
        <x:v>46258.45333333333</x:v>
      </x:c>
      <x:c r="T4" s="52" t="n">
        <x:v>46258.45636574074</x:v>
      </x:c>
      <x:c r="U4" s="53" t="n">
        <x:f>IF(OR(R4="",S4=""),"",(S4-R4)*86400)</x:f>
        <x:v>17.999999807216227</x:v>
      </x:c>
      <x:c r="V4" s="45" t="str">
        <x:v>已确认并完成处置</x:v>
      </x:c>
      <x:c r="W4" s="45" t="str">
        <x:v>UAV+手环+GIS</x:v>
      </x:c>
      <x:c r="X4" s="45" t="str">
        <x:v>触发紧急覆盖规则</x:v>
      </x:c>
    </x:row>
  </x:sheetData>
  <x:conditionalFormatting sqref="M2:M100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dataValidations count="2">
    <x:dataValidation type="list" sqref="D2:D100">
      <x:formula1>"S1,S2,S3,S4,S5"</x:formula1>
    </x:dataValidation>
    <x:dataValidation type="list" sqref="O2:O100">
      <x:formula1>"发现,已响应,处理中,已完成"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89519e60714e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15" hidden="0" customHeight="1">
      <x:c r="A1" s="32" t="str">
        <x:v>版本</x:v>
      </x:c>
      <x:c r="B1" s="33" t="str">
        <x:v>日期</x:v>
      </x:c>
      <x:c r="C1" s="33" t="str">
        <x:v>修改人</x:v>
      </x:c>
      <x:c r="D1" s="33" t="str">
        <x:v>修改内容</x:v>
      </x:c>
      <x:c r="E1" s="33" t="str">
        <x:v>影响范围</x:v>
      </x:c>
      <x:c r="F1" s="33" t="str">
        <x:v>备注</x:v>
      </x:c>
    </x:row>
    <x:row r="2" ht="15" hidden="0" customHeight="1">
      <x:c r="A2" s="42" t="str">
        <x:v>V0.1</x:v>
      </x:c>
      <x:c r="B2" s="43" t="str">
        <x:v>2026-08-24</x:v>
      </x:c>
      <x:c r="C2" s="43" t="str">
        <x:v>Maren</x:v>
      </x:c>
      <x:c r="D2" s="43" t="str">
        <x:v>建立公共字段与七类业务数据模板</x:v>
      </x:c>
      <x:c r="E2" s="43" t="str">
        <x:v>全工作簿</x:v>
      </x:c>
      <x:c r="F2" s="43" t="str">
        <x:v>原型初稿</x:v>
      </x:c>
    </x:row>
    <x:row r="3" ht="15" hidden="0" customHeight="1">
      <x:c r="A3" s="42" t="str">
        <x:v>V0.1</x:v>
      </x:c>
      <x:c r="B3" s="43" t="str">
        <x:v>2026-08-24</x:v>
      </x:c>
      <x:c r="C3" s="43" t="str">
        <x:v>Codex协助</x:v>
      </x:c>
      <x:c r="D3" s="43" t="str">
        <x:v>补全字段说明、模拟数据、计算公式与风险规则</x:v>
      </x:c>
      <x:c r="E3" s="43" t="str">
        <x:v>全工作簿</x:v>
      </x:c>
      <x:c r="F3" s="43" t="str">
        <x:v>所有阈值均待后续验证</x:v>
      </x:c>
    </x:row>
    <x:row r="4" ht="24" hidden="0" customHeight="1">
      <x:c r="A4" s="42" t="str">
        <x:v>V0.2</x:v>
      </x:c>
      <x:c r="B4" s="43" t="str">
        <x:v>待定</x:v>
      </x:c>
      <x:c r="C4" s="43" t="str">
        <x:v>GIS负责人</x:v>
      </x:c>
      <x:c r="D4" s="43" t="str">
        <x:v>补充真实赛道GeoJSON、坡度、道路宽度与医疗点</x:v>
      </x:c>
      <x:c r="E4" s="43" t="str">
        <x:v>GIS赛段数据</x:v>
      </x:c>
      <x:c r="F4" s="43" t="str">
        <x:v>待研究</x:v>
      </x:c>
    </x:row>
    <x:row r="5" ht="15" hidden="0" customHeight="1">
      <x:c r="A5" s="42" t="str">
        <x:v>V0.3</x:v>
      </x:c>
      <x:c r="B5" s="43" t="str">
        <x:v>待定</x:v>
      </x:c>
      <x:c r="C5" s="43" t="str">
        <x:v>视觉与手环负责人</x:v>
      </x:c>
      <x:c r="D5" s="43" t="str">
        <x:v>根据模型输出和设备数据修订字段与阈值</x:v>
      </x:c>
      <x:c r="E5" s="43" t="str">
        <x:v>无人机/运动员数据</x:v>
      </x:c>
      <x:c r="F5" s="43" t="str">
        <x:v>待研究</x:v>
      </x:c>
    </x:row>
  </x:sheetData>
  <x:pageMargins left="0.7" right="0.7" top="0.75" bottom="0.75" header="0.3" footer="0.3"/>
  <x:tableParts count="1">
    <x:tablePart xmlns:r="http://schemas.openxmlformats.org/officeDocument/2006/relationships" r:id="R28906b92c3d54b7f"/>
  </x:tableParts>
</x:worksheet>
</file>